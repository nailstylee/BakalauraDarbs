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lss\Documents\bakalaura darbs\capcha\"/>
    </mc:Choice>
  </mc:AlternateContent>
  <xr:revisionPtr revIDLastSave="0" documentId="13_ncr:1_{7C258C11-995F-4DEA-AA02-982BF5C6DA54}" xr6:coauthVersionLast="47" xr6:coauthVersionMax="47" xr10:uidLastSave="{00000000-0000-0000-0000-000000000000}"/>
  <bookViews>
    <workbookView xWindow="14610" yWindow="3240" windowWidth="20505" windowHeight="16410" xr2:uid="{00000000-000D-0000-FFFF-FFFF00000000}"/>
  </bookViews>
  <sheets>
    <sheet name="Runs" sheetId="1" r:id="rId1"/>
    <sheet name="Summary" sheetId="2" r:id="rId2"/>
    <sheet name="ErrorTypeOptions" sheetId="3" state="hidden" r:id="rId3"/>
  </sheets>
  <definedNames>
    <definedName name="_xlnm._FilterDatabase" localSheetId="0" hidden="1">Runs!$A$1:$W$65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2" l="1"/>
  <c r="H18" i="2"/>
  <c r="G18" i="2"/>
  <c r="F18" i="2"/>
  <c r="E18" i="2"/>
  <c r="C18" i="2"/>
  <c r="D18" i="2" s="1"/>
  <c r="B18" i="2"/>
  <c r="I17" i="2"/>
  <c r="H17" i="2"/>
  <c r="G17" i="2"/>
  <c r="F17" i="2"/>
  <c r="E17" i="2"/>
  <c r="C17" i="2"/>
  <c r="D17" i="2" s="1"/>
  <c r="B17" i="2"/>
  <c r="I16" i="2"/>
  <c r="H16" i="2"/>
  <c r="G16" i="2"/>
  <c r="F16" i="2"/>
  <c r="E16" i="2"/>
  <c r="C16" i="2"/>
  <c r="D16" i="2" s="1"/>
  <c r="B16" i="2"/>
  <c r="I15" i="2"/>
  <c r="H15" i="2"/>
  <c r="G15" i="2"/>
  <c r="F15" i="2"/>
  <c r="E15" i="2"/>
  <c r="C15" i="2"/>
  <c r="D15" i="2" s="1"/>
  <c r="B15" i="2"/>
  <c r="I14" i="2"/>
  <c r="H14" i="2"/>
  <c r="G14" i="2"/>
  <c r="F14" i="2"/>
  <c r="E14" i="2"/>
  <c r="C14" i="2"/>
  <c r="D14" i="2" s="1"/>
  <c r="B14" i="2"/>
  <c r="I13" i="2"/>
  <c r="H13" i="2"/>
  <c r="G13" i="2"/>
  <c r="F13" i="2"/>
  <c r="E13" i="2"/>
  <c r="C13" i="2"/>
  <c r="D13" i="2" s="1"/>
  <c r="B13" i="2"/>
  <c r="B9" i="2"/>
  <c r="B8" i="2"/>
  <c r="B7" i="2"/>
  <c r="B6" i="2"/>
  <c r="B4" i="2"/>
  <c r="B3" i="2"/>
  <c r="B5" i="2" l="1"/>
</calcChain>
</file>

<file path=xl/sharedStrings.xml><?xml version="1.0" encoding="utf-8"?>
<sst xmlns="http://schemas.openxmlformats.org/spreadsheetml/2006/main" count="600" uniqueCount="204">
  <si>
    <t>run_id</t>
  </si>
  <si>
    <t>completed_at</t>
  </si>
  <si>
    <t>model</t>
  </si>
  <si>
    <t>launch_target</t>
  </si>
  <si>
    <t>task_group</t>
  </si>
  <si>
    <t>task_type</t>
  </si>
  <si>
    <t>task_index</t>
  </si>
  <si>
    <t>variant</t>
  </si>
  <si>
    <t>html_file</t>
  </si>
  <si>
    <t>success</t>
  </si>
  <si>
    <t>outcome</t>
  </si>
  <si>
    <t>duration_seconds</t>
  </si>
  <si>
    <t>decision_rounds</t>
  </si>
  <si>
    <t>model_requests</t>
  </si>
  <si>
    <t>check_presses</t>
  </si>
  <si>
    <t>input_tokens</t>
  </si>
  <si>
    <t>cached_input_tokens</t>
  </si>
  <si>
    <t>output_tokens</t>
  </si>
  <si>
    <t>reasoning_tokens</t>
  </si>
  <si>
    <t>total_tokens</t>
  </si>
  <si>
    <t>estimated_cost_usd</t>
  </si>
  <si>
    <t>manual_error_type</t>
  </si>
  <si>
    <t>manual_notes</t>
  </si>
  <si>
    <t>20260521_134233_821379</t>
  </si>
  <si>
    <t>2026-05-21T13:44:55</t>
  </si>
  <si>
    <t>gpt-5.5-2026-04-23</t>
  </si>
  <si>
    <t>base task index 1</t>
  </si>
  <si>
    <t>base</t>
  </si>
  <si>
    <t>text</t>
  </si>
  <si>
    <t>puzzle_text.html</t>
  </si>
  <si>
    <t>failure_state_detected</t>
  </si>
  <si>
    <t>20260521_134540_865168</t>
  </si>
  <si>
    <t>2026-05-21T13:47:34</t>
  </si>
  <si>
    <t>20260521_135156_271367</t>
  </si>
  <si>
    <t>2026-05-21T13:52:10</t>
  </si>
  <si>
    <t>base task index 2</t>
  </si>
  <si>
    <t>20260521_135218_004888</t>
  </si>
  <si>
    <t>2026-05-21T13:52:46</t>
  </si>
  <si>
    <t>20260521_135307_419238</t>
  </si>
  <si>
    <t>2026-05-21T13:54:27</t>
  </si>
  <si>
    <t>base task index 3</t>
  </si>
  <si>
    <t>20260521_135440_109574</t>
  </si>
  <si>
    <t>2026-05-21T13:55:30</t>
  </si>
  <si>
    <t>20260521_135542_466264</t>
  </si>
  <si>
    <t>2026-05-21T13:55:55</t>
  </si>
  <si>
    <t>base task index 4</t>
  </si>
  <si>
    <t>20260521_135559_831532</t>
  </si>
  <si>
    <t>2026-05-21T13:56:17</t>
  </si>
  <si>
    <t>20260521_135643_460145</t>
  </si>
  <si>
    <t>2026-05-21T14:00:16</t>
  </si>
  <si>
    <t>base task index 5</t>
  </si>
  <si>
    <t>slide</t>
  </si>
  <si>
    <t>puzzle_slide.html</t>
  </si>
  <si>
    <t>20260521_140020_697321</t>
  </si>
  <si>
    <t>2026-05-21T14:04:30</t>
  </si>
  <si>
    <t>20260521_140442_820992</t>
  </si>
  <si>
    <t>2026-05-21T14:06:08</t>
  </si>
  <si>
    <t>base task index 6</t>
  </si>
  <si>
    <t>20260521_140617_404187</t>
  </si>
  <si>
    <t>2026-05-21T14:07:58</t>
  </si>
  <si>
    <t>20260521_140836_307027</t>
  </si>
  <si>
    <t>2026-05-21T14:10:25</t>
  </si>
  <si>
    <t>base task index 7</t>
  </si>
  <si>
    <t>20260521_141030_021383</t>
  </si>
  <si>
    <t>2026-05-21T14:11:54</t>
  </si>
  <si>
    <t>20260521_141258_846451</t>
  </si>
  <si>
    <t>2026-05-21T14:16:36</t>
  </si>
  <si>
    <t>base task index 8</t>
  </si>
  <si>
    <t>20260521_141730_494382</t>
  </si>
  <si>
    <t>2026-05-21T14:20:18</t>
  </si>
  <si>
    <t>20260521_142450_114910</t>
  </si>
  <si>
    <t>2026-05-21T14:25:06</t>
  </si>
  <si>
    <t>base task index 9</t>
  </si>
  <si>
    <t>choose</t>
  </si>
  <si>
    <t>puzzle_choose.html</t>
  </si>
  <si>
    <t>20260521_142510_286813</t>
  </si>
  <si>
    <t>2026-05-21T14:25:26</t>
  </si>
  <si>
    <t>20260521_142537_674555</t>
  </si>
  <si>
    <t>2026-05-21T14:26:09</t>
  </si>
  <si>
    <t>base task index 10</t>
  </si>
  <si>
    <t>20260521_142643_958493</t>
  </si>
  <si>
    <t>2026-05-21T14:27:34</t>
  </si>
  <si>
    <t>20260521_142806_403230</t>
  </si>
  <si>
    <t>2026-05-21T14:28:30</t>
  </si>
  <si>
    <t>base task index 11</t>
  </si>
  <si>
    <t>20260521_142837_515192</t>
  </si>
  <si>
    <t>2026-05-21T14:28:57</t>
  </si>
  <si>
    <t>20260521_143045_358504</t>
  </si>
  <si>
    <t>2026-05-21T14:31:06</t>
  </si>
  <si>
    <t>base task index 12</t>
  </si>
  <si>
    <t>20260521_143112_299669</t>
  </si>
  <si>
    <t>2026-05-21T14:32:15</t>
  </si>
  <si>
    <t>20260521_143328_929710</t>
  </si>
  <si>
    <t>2026-05-21T14:33:56</t>
  </si>
  <si>
    <t>base task index 13</t>
  </si>
  <si>
    <t>cover</t>
  </si>
  <si>
    <t>puzzle_cover.html</t>
  </si>
  <si>
    <t>20260521_143445_924518</t>
  </si>
  <si>
    <t>2026-05-21T14:35:10</t>
  </si>
  <si>
    <t>20260521_143756_732249</t>
  </si>
  <si>
    <t>2026-05-21T14:38:31</t>
  </si>
  <si>
    <t>base task index 14</t>
  </si>
  <si>
    <t>20260521_143931_309480</t>
  </si>
  <si>
    <t>2026-05-21T14:39:57</t>
  </si>
  <si>
    <t>20260521_144005_906836</t>
  </si>
  <si>
    <t>2026-05-21T14:40:27</t>
  </si>
  <si>
    <t>base task index 15</t>
  </si>
  <si>
    <t>20260521_144035_950657</t>
  </si>
  <si>
    <t>2026-05-21T14:41:09</t>
  </si>
  <si>
    <t>20260521_144153_551338</t>
  </si>
  <si>
    <t>2026-05-21T14:42:43</t>
  </si>
  <si>
    <t>base task index 16</t>
  </si>
  <si>
    <t>20260521_144245_972883</t>
  </si>
  <si>
    <t>2026-05-21T14:43:12</t>
  </si>
  <si>
    <t>20260521_144345_372482</t>
  </si>
  <si>
    <t>2026-05-21T14:55:52</t>
  </si>
  <si>
    <t>standalone shadow prototype puzzle</t>
  </si>
  <si>
    <t>prototype</t>
  </si>
  <si>
    <t>shadow_prototype</t>
  </si>
  <si>
    <t>puzzle_main_prototype.html</t>
  </si>
  <si>
    <t>decision_round_limit</t>
  </si>
  <si>
    <t>Telpiskā spriešana vai mērķa stāvoklis nepareizs</t>
  </si>
  <si>
    <t>20260521_150621_637283</t>
  </si>
  <si>
    <t>2026-05-21T15:17:45</t>
  </si>
  <si>
    <t>20260521_153708_252338</t>
  </si>
  <si>
    <t>2026-05-21T15:50:49</t>
  </si>
  <si>
    <t>20260521_155056_727725</t>
  </si>
  <si>
    <t>2026-05-21T16:04:39</t>
  </si>
  <si>
    <t>20260521_160928_039580</t>
  </si>
  <si>
    <t>2026-05-21T16:21:32</t>
  </si>
  <si>
    <t>20260521_162438_240556</t>
  </si>
  <si>
    <t>2026-05-21T16:37:55</t>
  </si>
  <si>
    <t>20260521_163806_947098</t>
  </si>
  <si>
    <t>2026-05-21T16:49:40</t>
  </si>
  <si>
    <t>20260521_164952_736962</t>
  </si>
  <si>
    <t>2026-05-21T17:05:16</t>
  </si>
  <si>
    <t>20260521_170528_120100</t>
  </si>
  <si>
    <t>2026-05-21T17:13:47</t>
  </si>
  <si>
    <t>20260521_171401_396494</t>
  </si>
  <si>
    <t>2026-05-21T17:29:04</t>
  </si>
  <si>
    <t>20260521_172911_259483</t>
  </si>
  <si>
    <t>2026-05-21T17:40:37</t>
  </si>
  <si>
    <t>20260521_174043_857091</t>
  </si>
  <si>
    <t>2026-05-21T17:55:30</t>
  </si>
  <si>
    <t>20260521_175704_560949</t>
  </si>
  <si>
    <t>2026-05-21T18:07:42</t>
  </si>
  <si>
    <t>20260521_180935_488552</t>
  </si>
  <si>
    <t>2026-05-21T18:20:22</t>
  </si>
  <si>
    <t>20260521_182102_015346</t>
  </si>
  <si>
    <t>2026-05-21T18:32:51</t>
  </si>
  <si>
    <t>20260521_183301_243319</t>
  </si>
  <si>
    <t>2026-05-21T18:47:26</t>
  </si>
  <si>
    <t>20260521_184859_808109</t>
  </si>
  <si>
    <t>2026-05-21T19:01:54</t>
  </si>
  <si>
    <t>20260521_190234_104876</t>
  </si>
  <si>
    <t>2026-05-21T19:16:36</t>
  </si>
  <si>
    <t>20260521_191803_496021</t>
  </si>
  <si>
    <t>2026-05-21T19:33:06</t>
  </si>
  <si>
    <t>20260521_193311_761598</t>
  </si>
  <si>
    <t>2026-05-21T19:50:03</t>
  </si>
  <si>
    <t>20260521_195010_421124</t>
  </si>
  <si>
    <t>2026-05-21T20:03:45</t>
  </si>
  <si>
    <t>20260521_200352_009612</t>
  </si>
  <si>
    <t>2026-05-21T20:16:08</t>
  </si>
  <si>
    <t>20260521_201614_577886</t>
  </si>
  <si>
    <t>2026-05-21T20:31:14</t>
  </si>
  <si>
    <t>20260521_203141_210274</t>
  </si>
  <si>
    <t>2026-05-21T20:47:21</t>
  </si>
  <si>
    <t>20260521_204734_650097</t>
  </si>
  <si>
    <t>2026-05-21T20:59:44</t>
  </si>
  <si>
    <t>20260521_205951_141663</t>
  </si>
  <si>
    <t>2026-05-21T21:18:15</t>
  </si>
  <si>
    <t>20260521_211821_746395</t>
  </si>
  <si>
    <t>2026-05-21T21:32:00</t>
  </si>
  <si>
    <t>20260521_213250_002572</t>
  </si>
  <si>
    <t>2026-05-21T21:43:17</t>
  </si>
  <si>
    <t>20260521_220148_657195</t>
  </si>
  <si>
    <t>2026-05-21T22:14:10</t>
  </si>
  <si>
    <t>20260521_221416_988404</t>
  </si>
  <si>
    <t>2026-05-21T22:28:11</t>
  </si>
  <si>
    <t>20260521_222851_808512</t>
  </si>
  <si>
    <t>2026-05-21T22:40:53</t>
  </si>
  <si>
    <t>20260521_224124_239341</t>
  </si>
  <si>
    <t>2026-05-21T22:54:05</t>
  </si>
  <si>
    <t>MI aģenta testu kopsavilkums</t>
  </si>
  <si>
    <t>Testu skaits</t>
  </si>
  <si>
    <t>Veiksmīgi</t>
  </si>
  <si>
    <t>Sekmju īpatsvars</t>
  </si>
  <si>
    <t>Vidējais laiks (s)</t>
  </si>
  <si>
    <t>Vidējās lēmumu kārtas</t>
  </si>
  <si>
    <t>Modeļa pieprasījumi kopā</t>
  </si>
  <si>
    <t>Aptuvenās izmaksas (USD)</t>
  </si>
  <si>
    <t>tests</t>
  </si>
  <si>
    <t>successes</t>
  </si>
  <si>
    <t>success_rate</t>
  </si>
  <si>
    <t>avg_duration_s</t>
  </si>
  <si>
    <t>avg_decision_rounds</t>
  </si>
  <si>
    <t>avg_check_presses</t>
  </si>
  <si>
    <t>unknown</t>
  </si>
  <si>
    <t>Instrukcija nav saprasta</t>
  </si>
  <si>
    <t>Attēls vai objekts interpretēts nepareizi</t>
  </si>
  <si>
    <t>Precīza mijiedarbība neizdevās</t>
  </si>
  <si>
    <t>Iestrēga vai atkārtoja neefektīvu pieeju</t>
  </si>
  <si>
    <t>Cits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</si>
</sst>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\$0.000000"/>
    <numFmt numFmtId="166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65"/>
  <sheetViews>
    <sheetView showGridLines="0" tabSelected="1" topLeftCell="U1" workbookViewId="0">
      <pane ySplit="1" topLeftCell="A2" activePane="bottomLeft" state="frozen"/>
      <selection pane="bottomLeft" activeCell="X1" sqref="X1:Y1048576"/>
    </sheetView>
  </sheetViews>
  <sheetFormatPr defaultRowHeight="15" x14ac:dyDescent="0.25"/>
  <cols>
    <col min="1" max="1" width="23" customWidth="1"/>
    <col min="2" max="2" width="21" customWidth="1"/>
    <col min="3" max="3" width="20" customWidth="1"/>
    <col min="4" max="4" width="30" customWidth="1"/>
    <col min="5" max="5" width="14" customWidth="1"/>
    <col min="6" max="6" width="18" customWidth="1"/>
    <col min="7" max="7" width="11" customWidth="1"/>
    <col min="8" max="8" width="10" customWidth="1"/>
    <col min="9" max="9" width="26" customWidth="1"/>
    <col min="10" max="10" width="11" customWidth="1"/>
    <col min="11" max="11" width="26" customWidth="1"/>
    <col min="12" max="14" width="16" customWidth="1"/>
    <col min="15" max="16" width="14" customWidth="1"/>
    <col min="17" max="17" width="18" customWidth="1"/>
    <col min="18" max="18" width="14" customWidth="1"/>
    <col min="19" max="19" width="18" customWidth="1"/>
    <col min="20" max="20" width="14" customWidth="1"/>
    <col min="21" max="21" width="18" customWidth="1"/>
    <col min="22" max="22" width="44" customWidth="1"/>
    <col min="23" max="23" width="48" customWidth="1"/>
  </cols>
  <sheetData>
    <row r="1" spans="1:23" ht="30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</row>
    <row r="2" spans="1:23" x14ac:dyDescent="0.25">
      <c r="A2" s="4" t="s">
        <v>23</v>
      </c>
      <c r="B2" s="5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>
        <v>1</v>
      </c>
      <c r="H2" s="4">
        <v>1</v>
      </c>
      <c r="I2" s="4" t="s">
        <v>29</v>
      </c>
      <c r="J2" s="4" t="b">
        <v>0</v>
      </c>
      <c r="K2" s="4" t="s">
        <v>30</v>
      </c>
      <c r="L2" s="6">
        <v>139.28</v>
      </c>
      <c r="M2" s="4">
        <v>3</v>
      </c>
      <c r="N2" s="4">
        <v>3</v>
      </c>
      <c r="O2" s="4">
        <v>3</v>
      </c>
      <c r="P2" s="4">
        <v>9286</v>
      </c>
      <c r="Q2" s="4">
        <v>2304</v>
      </c>
      <c r="R2" s="4">
        <v>5076</v>
      </c>
      <c r="S2" s="4">
        <v>4536</v>
      </c>
      <c r="T2" s="4">
        <v>14362</v>
      </c>
      <c r="U2" s="7">
        <v>9.4171000000000005E-2</v>
      </c>
      <c r="V2" s="8" t="s">
        <v>200</v>
      </c>
      <c r="W2" s="8"/>
    </row>
    <row r="3" spans="1:23" x14ac:dyDescent="0.25">
      <c r="A3" s="4" t="s">
        <v>31</v>
      </c>
      <c r="B3" s="5" t="s">
        <v>32</v>
      </c>
      <c r="C3" s="4" t="s">
        <v>25</v>
      </c>
      <c r="D3" s="4" t="s">
        <v>26</v>
      </c>
      <c r="E3" s="4" t="s">
        <v>27</v>
      </c>
      <c r="F3" s="4" t="s">
        <v>28</v>
      </c>
      <c r="G3" s="4">
        <v>1</v>
      </c>
      <c r="H3" s="4">
        <v>1</v>
      </c>
      <c r="I3" s="4" t="s">
        <v>29</v>
      </c>
      <c r="J3" s="4" t="b">
        <v>0</v>
      </c>
      <c r="K3" s="4" t="s">
        <v>30</v>
      </c>
      <c r="L3" s="6">
        <v>111.252</v>
      </c>
      <c r="M3" s="4">
        <v>3</v>
      </c>
      <c r="N3" s="4">
        <v>3</v>
      </c>
      <c r="O3" s="4">
        <v>3</v>
      </c>
      <c r="P3" s="4">
        <v>9293</v>
      </c>
      <c r="Q3" s="4">
        <v>0</v>
      </c>
      <c r="R3" s="4">
        <v>4396</v>
      </c>
      <c r="S3" s="4">
        <v>3800</v>
      </c>
      <c r="T3" s="4">
        <v>13689</v>
      </c>
      <c r="U3" s="7">
        <v>8.9172500000000002E-2</v>
      </c>
      <c r="V3" s="8" t="s">
        <v>200</v>
      </c>
      <c r="W3" s="8"/>
    </row>
    <row r="4" spans="1:23" hidden="1" x14ac:dyDescent="0.25">
      <c r="A4" s="4" t="s">
        <v>33</v>
      </c>
      <c r="B4" s="5" t="s">
        <v>34</v>
      </c>
      <c r="C4" s="4" t="s">
        <v>25</v>
      </c>
      <c r="D4" s="4" t="s">
        <v>35</v>
      </c>
      <c r="E4" s="4" t="s">
        <v>27</v>
      </c>
      <c r="F4" s="4" t="s">
        <v>28</v>
      </c>
      <c r="G4" s="4">
        <v>2</v>
      </c>
      <c r="H4" s="4">
        <v>2</v>
      </c>
      <c r="I4" s="4" t="s">
        <v>29</v>
      </c>
      <c r="J4" s="4" t="b">
        <v>1</v>
      </c>
      <c r="K4" s="4" t="s">
        <v>9</v>
      </c>
      <c r="L4" s="6">
        <v>12.465999999999999</v>
      </c>
      <c r="M4" s="4">
        <v>1</v>
      </c>
      <c r="N4" s="4">
        <v>1</v>
      </c>
      <c r="O4" s="4">
        <v>1</v>
      </c>
      <c r="P4" s="4">
        <v>3048</v>
      </c>
      <c r="Q4" s="4">
        <v>2304</v>
      </c>
      <c r="R4" s="4">
        <v>440</v>
      </c>
      <c r="S4" s="4">
        <v>241</v>
      </c>
      <c r="T4" s="4">
        <v>3488</v>
      </c>
      <c r="U4" s="7">
        <v>9.0360000000000006E-3</v>
      </c>
      <c r="V4" s="8"/>
      <c r="W4" s="8"/>
    </row>
    <row r="5" spans="1:23" hidden="1" x14ac:dyDescent="0.25">
      <c r="A5" s="4" t="s">
        <v>36</v>
      </c>
      <c r="B5" s="5" t="s">
        <v>37</v>
      </c>
      <c r="C5" s="4" t="s">
        <v>25</v>
      </c>
      <c r="D5" s="4" t="s">
        <v>35</v>
      </c>
      <c r="E5" s="4" t="s">
        <v>27</v>
      </c>
      <c r="F5" s="4" t="s">
        <v>28</v>
      </c>
      <c r="G5" s="4">
        <v>2</v>
      </c>
      <c r="H5" s="4">
        <v>2</v>
      </c>
      <c r="I5" s="4" t="s">
        <v>29</v>
      </c>
      <c r="J5" s="4" t="b">
        <v>1</v>
      </c>
      <c r="K5" s="4" t="s">
        <v>9</v>
      </c>
      <c r="L5" s="6">
        <v>26.187999999999999</v>
      </c>
      <c r="M5" s="4">
        <v>1</v>
      </c>
      <c r="N5" s="4">
        <v>1</v>
      </c>
      <c r="O5" s="4">
        <v>1</v>
      </c>
      <c r="P5" s="4">
        <v>3048</v>
      </c>
      <c r="Q5" s="4">
        <v>2304</v>
      </c>
      <c r="R5" s="4">
        <v>1082</v>
      </c>
      <c r="S5" s="4">
        <v>886</v>
      </c>
      <c r="T5" s="4">
        <v>4130</v>
      </c>
      <c r="U5" s="7">
        <v>1.8665999999999999E-2</v>
      </c>
      <c r="V5" s="8"/>
      <c r="W5" s="8"/>
    </row>
    <row r="6" spans="1:23" x14ac:dyDescent="0.25">
      <c r="A6" s="4" t="s">
        <v>38</v>
      </c>
      <c r="B6" s="5" t="s">
        <v>39</v>
      </c>
      <c r="C6" s="4" t="s">
        <v>25</v>
      </c>
      <c r="D6" s="4" t="s">
        <v>40</v>
      </c>
      <c r="E6" s="4" t="s">
        <v>27</v>
      </c>
      <c r="F6" s="4" t="s">
        <v>28</v>
      </c>
      <c r="G6" s="4">
        <v>3</v>
      </c>
      <c r="H6" s="4">
        <v>3</v>
      </c>
      <c r="I6" s="4" t="s">
        <v>29</v>
      </c>
      <c r="J6" s="4" t="b">
        <v>0</v>
      </c>
      <c r="K6" s="4" t="s">
        <v>30</v>
      </c>
      <c r="L6" s="6">
        <v>78.097999999999999</v>
      </c>
      <c r="M6" s="4">
        <v>3</v>
      </c>
      <c r="N6" s="4">
        <v>3</v>
      </c>
      <c r="O6" s="4">
        <v>3</v>
      </c>
      <c r="P6" s="4">
        <v>9284</v>
      </c>
      <c r="Q6" s="4">
        <v>0</v>
      </c>
      <c r="R6" s="4">
        <v>2893</v>
      </c>
      <c r="S6" s="4">
        <v>2283</v>
      </c>
      <c r="T6" s="4">
        <v>12177</v>
      </c>
      <c r="U6" s="7">
        <v>6.6604999999999998E-2</v>
      </c>
      <c r="V6" s="8" t="s">
        <v>200</v>
      </c>
      <c r="W6" s="8"/>
    </row>
    <row r="7" spans="1:23" x14ac:dyDescent="0.25">
      <c r="A7" s="4" t="s">
        <v>41</v>
      </c>
      <c r="B7" s="5" t="s">
        <v>42</v>
      </c>
      <c r="C7" s="4" t="s">
        <v>25</v>
      </c>
      <c r="D7" s="4" t="s">
        <v>40</v>
      </c>
      <c r="E7" s="4" t="s">
        <v>27</v>
      </c>
      <c r="F7" s="4" t="s">
        <v>28</v>
      </c>
      <c r="G7" s="4">
        <v>3</v>
      </c>
      <c r="H7" s="4">
        <v>3</v>
      </c>
      <c r="I7" s="4" t="s">
        <v>29</v>
      </c>
      <c r="J7" s="4" t="b">
        <v>0</v>
      </c>
      <c r="K7" s="4" t="s">
        <v>30</v>
      </c>
      <c r="L7" s="6">
        <v>47.994999999999997</v>
      </c>
      <c r="M7" s="4">
        <v>3</v>
      </c>
      <c r="N7" s="4">
        <v>3</v>
      </c>
      <c r="O7" s="4">
        <v>3</v>
      </c>
      <c r="P7" s="4">
        <v>9276</v>
      </c>
      <c r="Q7" s="4">
        <v>0</v>
      </c>
      <c r="R7" s="4">
        <v>1971</v>
      </c>
      <c r="S7" s="4">
        <v>1367</v>
      </c>
      <c r="T7" s="4">
        <v>11247</v>
      </c>
      <c r="U7" s="7">
        <v>5.2755000000000003E-2</v>
      </c>
      <c r="V7" s="8" t="s">
        <v>200</v>
      </c>
      <c r="W7" s="8"/>
    </row>
    <row r="8" spans="1:23" hidden="1" x14ac:dyDescent="0.25">
      <c r="A8" s="4" t="s">
        <v>43</v>
      </c>
      <c r="B8" s="5" t="s">
        <v>44</v>
      </c>
      <c r="C8" s="4" t="s">
        <v>25</v>
      </c>
      <c r="D8" s="4" t="s">
        <v>45</v>
      </c>
      <c r="E8" s="4" t="s">
        <v>27</v>
      </c>
      <c r="F8" s="4" t="s">
        <v>28</v>
      </c>
      <c r="G8" s="4">
        <v>4</v>
      </c>
      <c r="H8" s="4">
        <v>4</v>
      </c>
      <c r="I8" s="4" t="s">
        <v>29</v>
      </c>
      <c r="J8" s="4" t="b">
        <v>1</v>
      </c>
      <c r="K8" s="4" t="s">
        <v>9</v>
      </c>
      <c r="L8" s="6">
        <v>11.455</v>
      </c>
      <c r="M8" s="4">
        <v>1</v>
      </c>
      <c r="N8" s="4">
        <v>1</v>
      </c>
      <c r="O8" s="4">
        <v>1</v>
      </c>
      <c r="P8" s="4">
        <v>3048</v>
      </c>
      <c r="Q8" s="4">
        <v>0</v>
      </c>
      <c r="R8" s="4">
        <v>506</v>
      </c>
      <c r="S8" s="4">
        <v>317</v>
      </c>
      <c r="T8" s="4">
        <v>3554</v>
      </c>
      <c r="U8" s="7">
        <v>1.521E-2</v>
      </c>
      <c r="V8" s="8"/>
      <c r="W8" s="8"/>
    </row>
    <row r="9" spans="1:23" hidden="1" x14ac:dyDescent="0.25">
      <c r="A9" s="4" t="s">
        <v>46</v>
      </c>
      <c r="B9" s="5" t="s">
        <v>47</v>
      </c>
      <c r="C9" s="4" t="s">
        <v>25</v>
      </c>
      <c r="D9" s="4" t="s">
        <v>45</v>
      </c>
      <c r="E9" s="4" t="s">
        <v>27</v>
      </c>
      <c r="F9" s="4" t="s">
        <v>28</v>
      </c>
      <c r="G9" s="4">
        <v>4</v>
      </c>
      <c r="H9" s="4">
        <v>4</v>
      </c>
      <c r="I9" s="4" t="s">
        <v>29</v>
      </c>
      <c r="J9" s="4" t="b">
        <v>1</v>
      </c>
      <c r="K9" s="4" t="s">
        <v>9</v>
      </c>
      <c r="L9" s="6">
        <v>15.134</v>
      </c>
      <c r="M9" s="4">
        <v>1</v>
      </c>
      <c r="N9" s="4">
        <v>1</v>
      </c>
      <c r="O9" s="4">
        <v>1</v>
      </c>
      <c r="P9" s="4">
        <v>3048</v>
      </c>
      <c r="Q9" s="4">
        <v>0</v>
      </c>
      <c r="R9" s="4">
        <v>552</v>
      </c>
      <c r="S9" s="4">
        <v>354</v>
      </c>
      <c r="T9" s="4">
        <v>3600</v>
      </c>
      <c r="U9" s="7">
        <v>1.5900000000000001E-2</v>
      </c>
      <c r="V9" s="8"/>
      <c r="W9" s="8"/>
    </row>
    <row r="10" spans="1:23" hidden="1" x14ac:dyDescent="0.25">
      <c r="A10" s="4" t="s">
        <v>48</v>
      </c>
      <c r="B10" s="5" t="s">
        <v>49</v>
      </c>
      <c r="C10" s="4" t="s">
        <v>25</v>
      </c>
      <c r="D10" s="4" t="s">
        <v>50</v>
      </c>
      <c r="E10" s="4" t="s">
        <v>27</v>
      </c>
      <c r="F10" s="4" t="s">
        <v>51</v>
      </c>
      <c r="G10" s="4">
        <v>5</v>
      </c>
      <c r="H10" s="4">
        <v>1</v>
      </c>
      <c r="I10" s="4" t="s">
        <v>52</v>
      </c>
      <c r="J10" s="4" t="b">
        <v>1</v>
      </c>
      <c r="K10" s="4" t="s">
        <v>9</v>
      </c>
      <c r="L10" s="6">
        <v>210.75700000000001</v>
      </c>
      <c r="M10" s="4">
        <v>6</v>
      </c>
      <c r="N10" s="4">
        <v>6</v>
      </c>
      <c r="O10" s="4">
        <v>1</v>
      </c>
      <c r="P10" s="4">
        <v>19191</v>
      </c>
      <c r="Q10" s="4">
        <v>0</v>
      </c>
      <c r="R10" s="4">
        <v>7234</v>
      </c>
      <c r="S10" s="4">
        <v>6391</v>
      </c>
      <c r="T10" s="4">
        <v>26425</v>
      </c>
      <c r="U10" s="7">
        <v>0.1564875</v>
      </c>
      <c r="V10" s="8"/>
      <c r="W10" s="8"/>
    </row>
    <row r="11" spans="1:23" hidden="1" x14ac:dyDescent="0.25">
      <c r="A11" s="4" t="s">
        <v>53</v>
      </c>
      <c r="B11" s="5" t="s">
        <v>54</v>
      </c>
      <c r="C11" s="4" t="s">
        <v>25</v>
      </c>
      <c r="D11" s="4" t="s">
        <v>50</v>
      </c>
      <c r="E11" s="4" t="s">
        <v>27</v>
      </c>
      <c r="F11" s="4" t="s">
        <v>51</v>
      </c>
      <c r="G11" s="4">
        <v>5</v>
      </c>
      <c r="H11" s="4">
        <v>1</v>
      </c>
      <c r="I11" s="4" t="s">
        <v>52</v>
      </c>
      <c r="J11" s="4" t="b">
        <v>1</v>
      </c>
      <c r="K11" s="4" t="s">
        <v>9</v>
      </c>
      <c r="L11" s="6">
        <v>247.92</v>
      </c>
      <c r="M11" s="4">
        <v>8</v>
      </c>
      <c r="N11" s="4">
        <v>8</v>
      </c>
      <c r="O11" s="4">
        <v>1</v>
      </c>
      <c r="P11" s="4">
        <v>25892</v>
      </c>
      <c r="Q11" s="4">
        <v>2304</v>
      </c>
      <c r="R11" s="4">
        <v>9170</v>
      </c>
      <c r="S11" s="4">
        <v>8044</v>
      </c>
      <c r="T11" s="4">
        <v>35062</v>
      </c>
      <c r="U11" s="7">
        <v>0.19709599999999999</v>
      </c>
      <c r="V11" s="8"/>
      <c r="W11" s="8"/>
    </row>
    <row r="12" spans="1:23" hidden="1" x14ac:dyDescent="0.25">
      <c r="A12" s="4" t="s">
        <v>55</v>
      </c>
      <c r="B12" s="5" t="s">
        <v>56</v>
      </c>
      <c r="C12" s="4" t="s">
        <v>25</v>
      </c>
      <c r="D12" s="4" t="s">
        <v>57</v>
      </c>
      <c r="E12" s="4" t="s">
        <v>27</v>
      </c>
      <c r="F12" s="4" t="s">
        <v>51</v>
      </c>
      <c r="G12" s="4">
        <v>6</v>
      </c>
      <c r="H12" s="4">
        <v>2</v>
      </c>
      <c r="I12" s="4" t="s">
        <v>52</v>
      </c>
      <c r="J12" s="4" t="b">
        <v>1</v>
      </c>
      <c r="K12" s="4" t="s">
        <v>9</v>
      </c>
      <c r="L12" s="6">
        <v>83.460999999999999</v>
      </c>
      <c r="M12" s="4">
        <v>3</v>
      </c>
      <c r="N12" s="4">
        <v>3</v>
      </c>
      <c r="O12" s="4">
        <v>1</v>
      </c>
      <c r="P12" s="4">
        <v>9339</v>
      </c>
      <c r="Q12" s="4">
        <v>0</v>
      </c>
      <c r="R12" s="4">
        <v>2826</v>
      </c>
      <c r="S12" s="4">
        <v>2421</v>
      </c>
      <c r="T12" s="4">
        <v>12165</v>
      </c>
      <c r="U12" s="7">
        <v>6.5737500000000004E-2</v>
      </c>
      <c r="V12" s="8"/>
      <c r="W12" s="8"/>
    </row>
    <row r="13" spans="1:23" hidden="1" x14ac:dyDescent="0.25">
      <c r="A13" s="4" t="s">
        <v>58</v>
      </c>
      <c r="B13" s="5" t="s">
        <v>59</v>
      </c>
      <c r="C13" s="4" t="s">
        <v>25</v>
      </c>
      <c r="D13" s="4" t="s">
        <v>57</v>
      </c>
      <c r="E13" s="4" t="s">
        <v>27</v>
      </c>
      <c r="F13" s="4" t="s">
        <v>51</v>
      </c>
      <c r="G13" s="4">
        <v>6</v>
      </c>
      <c r="H13" s="4">
        <v>2</v>
      </c>
      <c r="I13" s="4" t="s">
        <v>52</v>
      </c>
      <c r="J13" s="4" t="b">
        <v>1</v>
      </c>
      <c r="K13" s="4" t="s">
        <v>9</v>
      </c>
      <c r="L13" s="6">
        <v>98.77</v>
      </c>
      <c r="M13" s="4">
        <v>3</v>
      </c>
      <c r="N13" s="4">
        <v>3</v>
      </c>
      <c r="O13" s="4">
        <v>1</v>
      </c>
      <c r="P13" s="4">
        <v>9348</v>
      </c>
      <c r="Q13" s="4">
        <v>2304</v>
      </c>
      <c r="R13" s="4">
        <v>3078</v>
      </c>
      <c r="S13" s="4">
        <v>2666</v>
      </c>
      <c r="T13" s="4">
        <v>12426</v>
      </c>
      <c r="U13" s="7">
        <v>6.4355999999999997E-2</v>
      </c>
      <c r="V13" s="8"/>
      <c r="W13" s="8"/>
    </row>
    <row r="14" spans="1:23" hidden="1" x14ac:dyDescent="0.25">
      <c r="A14" s="4" t="s">
        <v>60</v>
      </c>
      <c r="B14" s="5" t="s">
        <v>61</v>
      </c>
      <c r="C14" s="4" t="s">
        <v>25</v>
      </c>
      <c r="D14" s="4" t="s">
        <v>62</v>
      </c>
      <c r="E14" s="4" t="s">
        <v>27</v>
      </c>
      <c r="F14" s="4" t="s">
        <v>51</v>
      </c>
      <c r="G14" s="4">
        <v>7</v>
      </c>
      <c r="H14" s="4">
        <v>3</v>
      </c>
      <c r="I14" s="4" t="s">
        <v>52</v>
      </c>
      <c r="J14" s="4" t="b">
        <v>1</v>
      </c>
      <c r="K14" s="4" t="s">
        <v>9</v>
      </c>
      <c r="L14" s="6">
        <v>106.693</v>
      </c>
      <c r="M14" s="4">
        <v>3</v>
      </c>
      <c r="N14" s="4">
        <v>3</v>
      </c>
      <c r="O14" s="4">
        <v>1</v>
      </c>
      <c r="P14" s="4">
        <v>9361</v>
      </c>
      <c r="Q14" s="4">
        <v>0</v>
      </c>
      <c r="R14" s="4">
        <v>3586</v>
      </c>
      <c r="S14" s="4">
        <v>3163</v>
      </c>
      <c r="T14" s="4">
        <v>12947</v>
      </c>
      <c r="U14" s="7">
        <v>7.7192499999999997E-2</v>
      </c>
      <c r="V14" s="8"/>
      <c r="W14" s="8"/>
    </row>
    <row r="15" spans="1:23" hidden="1" x14ac:dyDescent="0.25">
      <c r="A15" s="4" t="s">
        <v>63</v>
      </c>
      <c r="B15" s="5" t="s">
        <v>64</v>
      </c>
      <c r="C15" s="4" t="s">
        <v>25</v>
      </c>
      <c r="D15" s="4" t="s">
        <v>62</v>
      </c>
      <c r="E15" s="4" t="s">
        <v>27</v>
      </c>
      <c r="F15" s="4" t="s">
        <v>51</v>
      </c>
      <c r="G15" s="4">
        <v>7</v>
      </c>
      <c r="H15" s="4">
        <v>3</v>
      </c>
      <c r="I15" s="4" t="s">
        <v>52</v>
      </c>
      <c r="J15" s="4" t="b">
        <v>1</v>
      </c>
      <c r="K15" s="4" t="s">
        <v>9</v>
      </c>
      <c r="L15" s="6">
        <v>82.37</v>
      </c>
      <c r="M15" s="4">
        <v>3</v>
      </c>
      <c r="N15" s="4">
        <v>3</v>
      </c>
      <c r="O15" s="4">
        <v>1</v>
      </c>
      <c r="P15" s="4">
        <v>9362</v>
      </c>
      <c r="Q15" s="4">
        <v>0</v>
      </c>
      <c r="R15" s="4">
        <v>2663</v>
      </c>
      <c r="S15" s="4">
        <v>2258</v>
      </c>
      <c r="T15" s="4">
        <v>12025</v>
      </c>
      <c r="U15" s="7">
        <v>6.3350000000000004E-2</v>
      </c>
      <c r="V15" s="8"/>
      <c r="W15" s="8"/>
    </row>
    <row r="16" spans="1:23" hidden="1" x14ac:dyDescent="0.25">
      <c r="A16" s="4" t="s">
        <v>65</v>
      </c>
      <c r="B16" s="5" t="s">
        <v>66</v>
      </c>
      <c r="C16" s="4" t="s">
        <v>25</v>
      </c>
      <c r="D16" s="4" t="s">
        <v>67</v>
      </c>
      <c r="E16" s="4" t="s">
        <v>27</v>
      </c>
      <c r="F16" s="4" t="s">
        <v>51</v>
      </c>
      <c r="G16" s="4">
        <v>8</v>
      </c>
      <c r="H16" s="4">
        <v>4</v>
      </c>
      <c r="I16" s="4" t="s">
        <v>52</v>
      </c>
      <c r="J16" s="4" t="b">
        <v>1</v>
      </c>
      <c r="K16" s="4" t="s">
        <v>9</v>
      </c>
      <c r="L16" s="6">
        <v>215.19200000000001</v>
      </c>
      <c r="M16" s="4">
        <v>6</v>
      </c>
      <c r="N16" s="4">
        <v>6</v>
      </c>
      <c r="O16" s="4">
        <v>3</v>
      </c>
      <c r="P16" s="4">
        <v>19168</v>
      </c>
      <c r="Q16" s="4">
        <v>0</v>
      </c>
      <c r="R16" s="4">
        <v>7822</v>
      </c>
      <c r="S16" s="4">
        <v>6874</v>
      </c>
      <c r="T16" s="4">
        <v>26990</v>
      </c>
      <c r="U16" s="7">
        <v>0.16525000000000001</v>
      </c>
      <c r="V16" s="8"/>
      <c r="W16" s="8"/>
    </row>
    <row r="17" spans="1:23" hidden="1" x14ac:dyDescent="0.25">
      <c r="A17" s="4" t="s">
        <v>68</v>
      </c>
      <c r="B17" s="5" t="s">
        <v>69</v>
      </c>
      <c r="C17" s="4" t="s">
        <v>25</v>
      </c>
      <c r="D17" s="4" t="s">
        <v>67</v>
      </c>
      <c r="E17" s="4" t="s">
        <v>27</v>
      </c>
      <c r="F17" s="4" t="s">
        <v>51</v>
      </c>
      <c r="G17" s="4">
        <v>8</v>
      </c>
      <c r="H17" s="4">
        <v>4</v>
      </c>
      <c r="I17" s="4" t="s">
        <v>52</v>
      </c>
      <c r="J17" s="4" t="b">
        <v>1</v>
      </c>
      <c r="K17" s="4" t="s">
        <v>9</v>
      </c>
      <c r="L17" s="6">
        <v>166.458</v>
      </c>
      <c r="M17" s="4">
        <v>3</v>
      </c>
      <c r="N17" s="4">
        <v>3</v>
      </c>
      <c r="O17" s="4">
        <v>1</v>
      </c>
      <c r="P17" s="4">
        <v>9355</v>
      </c>
      <c r="Q17" s="4">
        <v>2304</v>
      </c>
      <c r="R17" s="4">
        <v>5974</v>
      </c>
      <c r="S17" s="4">
        <v>5548</v>
      </c>
      <c r="T17" s="4">
        <v>15329</v>
      </c>
      <c r="U17" s="7">
        <v>0.10781350000000001</v>
      </c>
      <c r="V17" s="8"/>
      <c r="W17" s="8"/>
    </row>
    <row r="18" spans="1:23" hidden="1" x14ac:dyDescent="0.25">
      <c r="A18" s="4" t="s">
        <v>70</v>
      </c>
      <c r="B18" s="5" t="s">
        <v>71</v>
      </c>
      <c r="C18" s="4" t="s">
        <v>25</v>
      </c>
      <c r="D18" s="4" t="s">
        <v>72</v>
      </c>
      <c r="E18" s="4" t="s">
        <v>27</v>
      </c>
      <c r="F18" s="4" t="s">
        <v>73</v>
      </c>
      <c r="G18" s="4">
        <v>9</v>
      </c>
      <c r="H18" s="4">
        <v>1</v>
      </c>
      <c r="I18" s="4" t="s">
        <v>74</v>
      </c>
      <c r="J18" s="4" t="b">
        <v>1</v>
      </c>
      <c r="K18" s="4" t="s">
        <v>9</v>
      </c>
      <c r="L18" s="6">
        <v>14.452999999999999</v>
      </c>
      <c r="M18" s="4">
        <v>1</v>
      </c>
      <c r="N18" s="4">
        <v>1</v>
      </c>
      <c r="O18" s="4">
        <v>1</v>
      </c>
      <c r="P18" s="4">
        <v>3054</v>
      </c>
      <c r="Q18" s="4">
        <v>0</v>
      </c>
      <c r="R18" s="4">
        <v>580</v>
      </c>
      <c r="S18" s="4">
        <v>195</v>
      </c>
      <c r="T18" s="4">
        <v>3634</v>
      </c>
      <c r="U18" s="7">
        <v>1.6334999999999999E-2</v>
      </c>
      <c r="V18" s="8"/>
      <c r="W18" s="8"/>
    </row>
    <row r="19" spans="1:23" hidden="1" x14ac:dyDescent="0.25">
      <c r="A19" s="4" t="s">
        <v>75</v>
      </c>
      <c r="B19" s="5" t="s">
        <v>76</v>
      </c>
      <c r="C19" s="4" t="s">
        <v>25</v>
      </c>
      <c r="D19" s="4" t="s">
        <v>72</v>
      </c>
      <c r="E19" s="4" t="s">
        <v>27</v>
      </c>
      <c r="F19" s="4" t="s">
        <v>73</v>
      </c>
      <c r="G19" s="4">
        <v>9</v>
      </c>
      <c r="H19" s="4">
        <v>1</v>
      </c>
      <c r="I19" s="4" t="s">
        <v>74</v>
      </c>
      <c r="J19" s="4" t="b">
        <v>1</v>
      </c>
      <c r="K19" s="4" t="s">
        <v>9</v>
      </c>
      <c r="L19" s="6">
        <v>14.128</v>
      </c>
      <c r="M19" s="4">
        <v>1</v>
      </c>
      <c r="N19" s="4">
        <v>1</v>
      </c>
      <c r="O19" s="4">
        <v>1</v>
      </c>
      <c r="P19" s="4">
        <v>3054</v>
      </c>
      <c r="Q19" s="4">
        <v>2304</v>
      </c>
      <c r="R19" s="4">
        <v>605</v>
      </c>
      <c r="S19" s="4">
        <v>224</v>
      </c>
      <c r="T19" s="4">
        <v>3659</v>
      </c>
      <c r="U19" s="7">
        <v>1.1526E-2</v>
      </c>
      <c r="V19" s="8"/>
      <c r="W19" s="8"/>
    </row>
    <row r="20" spans="1:23" hidden="1" x14ac:dyDescent="0.25">
      <c r="A20" s="4" t="s">
        <v>77</v>
      </c>
      <c r="B20" s="5" t="s">
        <v>78</v>
      </c>
      <c r="C20" s="4" t="s">
        <v>25</v>
      </c>
      <c r="D20" s="4" t="s">
        <v>79</v>
      </c>
      <c r="E20" s="4" t="s">
        <v>27</v>
      </c>
      <c r="F20" s="4" t="s">
        <v>73</v>
      </c>
      <c r="G20" s="4">
        <v>10</v>
      </c>
      <c r="H20" s="4">
        <v>2</v>
      </c>
      <c r="I20" s="4" t="s">
        <v>74</v>
      </c>
      <c r="J20" s="4" t="b">
        <v>1</v>
      </c>
      <c r="K20" s="4" t="s">
        <v>9</v>
      </c>
      <c r="L20" s="6">
        <v>29.663</v>
      </c>
      <c r="M20" s="4">
        <v>2</v>
      </c>
      <c r="N20" s="4">
        <v>2</v>
      </c>
      <c r="O20" s="4">
        <v>2</v>
      </c>
      <c r="P20" s="4">
        <v>6168</v>
      </c>
      <c r="Q20" s="4">
        <v>0</v>
      </c>
      <c r="R20" s="4">
        <v>1222</v>
      </c>
      <c r="S20" s="4">
        <v>622</v>
      </c>
      <c r="T20" s="4">
        <v>7390</v>
      </c>
      <c r="U20" s="7">
        <v>3.3750000000000002E-2</v>
      </c>
      <c r="V20" s="8"/>
      <c r="W20" s="8"/>
    </row>
    <row r="21" spans="1:23" hidden="1" x14ac:dyDescent="0.25">
      <c r="A21" s="4" t="s">
        <v>80</v>
      </c>
      <c r="B21" s="5" t="s">
        <v>81</v>
      </c>
      <c r="C21" s="4" t="s">
        <v>25</v>
      </c>
      <c r="D21" s="4" t="s">
        <v>79</v>
      </c>
      <c r="E21" s="4" t="s">
        <v>27</v>
      </c>
      <c r="F21" s="4" t="s">
        <v>73</v>
      </c>
      <c r="G21" s="4">
        <v>10</v>
      </c>
      <c r="H21" s="4">
        <v>2</v>
      </c>
      <c r="I21" s="4" t="s">
        <v>74</v>
      </c>
      <c r="J21" s="4" t="b">
        <v>1</v>
      </c>
      <c r="K21" s="4" t="s">
        <v>9</v>
      </c>
      <c r="L21" s="6">
        <v>48.787999999999997</v>
      </c>
      <c r="M21" s="4">
        <v>2</v>
      </c>
      <c r="N21" s="4">
        <v>2</v>
      </c>
      <c r="O21" s="4">
        <v>2</v>
      </c>
      <c r="P21" s="4">
        <v>6169</v>
      </c>
      <c r="Q21" s="4">
        <v>2304</v>
      </c>
      <c r="R21" s="4">
        <v>1924</v>
      </c>
      <c r="S21" s="4">
        <v>1348</v>
      </c>
      <c r="T21" s="4">
        <v>8093</v>
      </c>
      <c r="U21" s="7">
        <v>3.9098500000000001E-2</v>
      </c>
      <c r="V21" s="8"/>
      <c r="W21" s="8"/>
    </row>
    <row r="22" spans="1:23" hidden="1" x14ac:dyDescent="0.25">
      <c r="A22" s="4" t="s">
        <v>82</v>
      </c>
      <c r="B22" s="5" t="s">
        <v>83</v>
      </c>
      <c r="C22" s="4" t="s">
        <v>25</v>
      </c>
      <c r="D22" s="4" t="s">
        <v>84</v>
      </c>
      <c r="E22" s="4" t="s">
        <v>27</v>
      </c>
      <c r="F22" s="4" t="s">
        <v>73</v>
      </c>
      <c r="G22" s="4">
        <v>11</v>
      </c>
      <c r="H22" s="4">
        <v>3</v>
      </c>
      <c r="I22" s="4" t="s">
        <v>74</v>
      </c>
      <c r="J22" s="4" t="b">
        <v>1</v>
      </c>
      <c r="K22" s="4" t="s">
        <v>9</v>
      </c>
      <c r="L22" s="6">
        <v>21.311</v>
      </c>
      <c r="M22" s="4">
        <v>1</v>
      </c>
      <c r="N22" s="4">
        <v>1</v>
      </c>
      <c r="O22" s="4">
        <v>1</v>
      </c>
      <c r="P22" s="4">
        <v>3050</v>
      </c>
      <c r="Q22" s="4">
        <v>0</v>
      </c>
      <c r="R22" s="4">
        <v>800</v>
      </c>
      <c r="S22" s="4">
        <v>340</v>
      </c>
      <c r="T22" s="4">
        <v>3850</v>
      </c>
      <c r="U22" s="7">
        <v>1.9625E-2</v>
      </c>
      <c r="V22" s="8"/>
      <c r="W22" s="8"/>
    </row>
    <row r="23" spans="1:23" hidden="1" x14ac:dyDescent="0.25">
      <c r="A23" s="4" t="s">
        <v>85</v>
      </c>
      <c r="B23" s="5" t="s">
        <v>86</v>
      </c>
      <c r="C23" s="4" t="s">
        <v>25</v>
      </c>
      <c r="D23" s="4" t="s">
        <v>84</v>
      </c>
      <c r="E23" s="4" t="s">
        <v>27</v>
      </c>
      <c r="F23" s="4" t="s">
        <v>73</v>
      </c>
      <c r="G23" s="4">
        <v>11</v>
      </c>
      <c r="H23" s="4">
        <v>3</v>
      </c>
      <c r="I23" s="4" t="s">
        <v>74</v>
      </c>
      <c r="J23" s="4" t="b">
        <v>1</v>
      </c>
      <c r="K23" s="4" t="s">
        <v>9</v>
      </c>
      <c r="L23" s="6">
        <v>18.061</v>
      </c>
      <c r="M23" s="4">
        <v>1</v>
      </c>
      <c r="N23" s="4">
        <v>1</v>
      </c>
      <c r="O23" s="4">
        <v>1</v>
      </c>
      <c r="P23" s="4">
        <v>3050</v>
      </c>
      <c r="Q23" s="4">
        <v>0</v>
      </c>
      <c r="R23" s="4">
        <v>804</v>
      </c>
      <c r="S23" s="4">
        <v>351</v>
      </c>
      <c r="T23" s="4">
        <v>3854</v>
      </c>
      <c r="U23" s="7">
        <v>1.9685000000000001E-2</v>
      </c>
      <c r="V23" s="8"/>
      <c r="W23" s="8"/>
    </row>
    <row r="24" spans="1:23" hidden="1" x14ac:dyDescent="0.25">
      <c r="A24" s="4" t="s">
        <v>87</v>
      </c>
      <c r="B24" s="5" t="s">
        <v>88</v>
      </c>
      <c r="C24" s="4" t="s">
        <v>25</v>
      </c>
      <c r="D24" s="4" t="s">
        <v>89</v>
      </c>
      <c r="E24" s="4" t="s">
        <v>27</v>
      </c>
      <c r="F24" s="4" t="s">
        <v>73</v>
      </c>
      <c r="G24" s="4">
        <v>12</v>
      </c>
      <c r="H24" s="4">
        <v>4</v>
      </c>
      <c r="I24" s="4" t="s">
        <v>74</v>
      </c>
      <c r="J24" s="4" t="b">
        <v>1</v>
      </c>
      <c r="K24" s="4" t="s">
        <v>9</v>
      </c>
      <c r="L24" s="6">
        <v>19.071000000000002</v>
      </c>
      <c r="M24" s="4">
        <v>1</v>
      </c>
      <c r="N24" s="4">
        <v>1</v>
      </c>
      <c r="O24" s="4">
        <v>1</v>
      </c>
      <c r="P24" s="4">
        <v>3052</v>
      </c>
      <c r="Q24" s="4">
        <v>0</v>
      </c>
      <c r="R24" s="4">
        <v>913</v>
      </c>
      <c r="S24" s="4">
        <v>516</v>
      </c>
      <c r="T24" s="4">
        <v>3965</v>
      </c>
      <c r="U24" s="7">
        <v>2.1325E-2</v>
      </c>
      <c r="V24" s="8"/>
      <c r="W24" s="8"/>
    </row>
    <row r="25" spans="1:23" hidden="1" x14ac:dyDescent="0.25">
      <c r="A25" s="4" t="s">
        <v>90</v>
      </c>
      <c r="B25" s="5" t="s">
        <v>91</v>
      </c>
      <c r="C25" s="4" t="s">
        <v>25</v>
      </c>
      <c r="D25" s="4" t="s">
        <v>89</v>
      </c>
      <c r="E25" s="4" t="s">
        <v>27</v>
      </c>
      <c r="F25" s="4" t="s">
        <v>73</v>
      </c>
      <c r="G25" s="4">
        <v>12</v>
      </c>
      <c r="H25" s="4">
        <v>4</v>
      </c>
      <c r="I25" s="4" t="s">
        <v>74</v>
      </c>
      <c r="J25" s="4" t="b">
        <v>1</v>
      </c>
      <c r="K25" s="4" t="s">
        <v>9</v>
      </c>
      <c r="L25" s="6">
        <v>60.710999999999999</v>
      </c>
      <c r="M25" s="4">
        <v>1</v>
      </c>
      <c r="N25" s="4">
        <v>1</v>
      </c>
      <c r="O25" s="4">
        <v>1</v>
      </c>
      <c r="P25" s="4">
        <v>3052</v>
      </c>
      <c r="Q25" s="4">
        <v>0</v>
      </c>
      <c r="R25" s="4">
        <v>2132</v>
      </c>
      <c r="S25" s="4">
        <v>1743</v>
      </c>
      <c r="T25" s="4">
        <v>5184</v>
      </c>
      <c r="U25" s="7">
        <v>3.9609999999999999E-2</v>
      </c>
      <c r="V25" s="8"/>
      <c r="W25" s="8"/>
    </row>
    <row r="26" spans="1:23" hidden="1" x14ac:dyDescent="0.25">
      <c r="A26" s="4" t="s">
        <v>92</v>
      </c>
      <c r="B26" s="5" t="s">
        <v>93</v>
      </c>
      <c r="C26" s="4" t="s">
        <v>25</v>
      </c>
      <c r="D26" s="4" t="s">
        <v>94</v>
      </c>
      <c r="E26" s="4" t="s">
        <v>27</v>
      </c>
      <c r="F26" s="4" t="s">
        <v>95</v>
      </c>
      <c r="G26" s="4">
        <v>13</v>
      </c>
      <c r="H26" s="4">
        <v>1</v>
      </c>
      <c r="I26" s="4" t="s">
        <v>96</v>
      </c>
      <c r="J26" s="4" t="b">
        <v>1</v>
      </c>
      <c r="K26" s="4" t="s">
        <v>9</v>
      </c>
      <c r="L26" s="6">
        <v>25.725999999999999</v>
      </c>
      <c r="M26" s="4">
        <v>1</v>
      </c>
      <c r="N26" s="4">
        <v>1</v>
      </c>
      <c r="O26" s="4">
        <v>1</v>
      </c>
      <c r="P26" s="4">
        <v>3048</v>
      </c>
      <c r="Q26" s="4">
        <v>0</v>
      </c>
      <c r="R26" s="4">
        <v>1167</v>
      </c>
      <c r="S26" s="4">
        <v>761</v>
      </c>
      <c r="T26" s="4">
        <v>4215</v>
      </c>
      <c r="U26" s="7">
        <v>2.5125000000000001E-2</v>
      </c>
      <c r="V26" s="8"/>
      <c r="W26" s="8"/>
    </row>
    <row r="27" spans="1:23" hidden="1" x14ac:dyDescent="0.25">
      <c r="A27" s="4" t="s">
        <v>97</v>
      </c>
      <c r="B27" s="5" t="s">
        <v>98</v>
      </c>
      <c r="C27" s="4" t="s">
        <v>25</v>
      </c>
      <c r="D27" s="4" t="s">
        <v>94</v>
      </c>
      <c r="E27" s="4" t="s">
        <v>27</v>
      </c>
      <c r="F27" s="4" t="s">
        <v>95</v>
      </c>
      <c r="G27" s="4">
        <v>13</v>
      </c>
      <c r="H27" s="4">
        <v>1</v>
      </c>
      <c r="I27" s="4" t="s">
        <v>96</v>
      </c>
      <c r="J27" s="4" t="b">
        <v>1</v>
      </c>
      <c r="K27" s="4" t="s">
        <v>9</v>
      </c>
      <c r="L27" s="6">
        <v>22.398</v>
      </c>
      <c r="M27" s="4">
        <v>1</v>
      </c>
      <c r="N27" s="4">
        <v>1</v>
      </c>
      <c r="O27" s="4">
        <v>1</v>
      </c>
      <c r="P27" s="4">
        <v>3048</v>
      </c>
      <c r="Q27" s="4">
        <v>2304</v>
      </c>
      <c r="R27" s="4">
        <v>917</v>
      </c>
      <c r="S27" s="4">
        <v>516</v>
      </c>
      <c r="T27" s="4">
        <v>3965</v>
      </c>
      <c r="U27" s="7">
        <v>1.6191000000000001E-2</v>
      </c>
      <c r="V27" s="8"/>
      <c r="W27" s="8"/>
    </row>
    <row r="28" spans="1:23" hidden="1" x14ac:dyDescent="0.25">
      <c r="A28" s="4" t="s">
        <v>99</v>
      </c>
      <c r="B28" s="5" t="s">
        <v>100</v>
      </c>
      <c r="C28" s="4" t="s">
        <v>25</v>
      </c>
      <c r="D28" s="4" t="s">
        <v>101</v>
      </c>
      <c r="E28" s="4" t="s">
        <v>27</v>
      </c>
      <c r="F28" s="4" t="s">
        <v>95</v>
      </c>
      <c r="G28" s="4">
        <v>14</v>
      </c>
      <c r="H28" s="4">
        <v>2</v>
      </c>
      <c r="I28" s="4" t="s">
        <v>96</v>
      </c>
      <c r="J28" s="4" t="b">
        <v>1</v>
      </c>
      <c r="K28" s="4" t="s">
        <v>9</v>
      </c>
      <c r="L28" s="6">
        <v>32.636000000000003</v>
      </c>
      <c r="M28" s="4">
        <v>1</v>
      </c>
      <c r="N28" s="4">
        <v>1</v>
      </c>
      <c r="O28" s="4">
        <v>1</v>
      </c>
      <c r="P28" s="4">
        <v>3050</v>
      </c>
      <c r="Q28" s="4">
        <v>0</v>
      </c>
      <c r="R28" s="4">
        <v>1344</v>
      </c>
      <c r="S28" s="4">
        <v>808</v>
      </c>
      <c r="T28" s="4">
        <v>4394</v>
      </c>
      <c r="U28" s="7">
        <v>2.7785000000000001E-2</v>
      </c>
      <c r="V28" s="8"/>
      <c r="W28" s="8"/>
    </row>
    <row r="29" spans="1:23" hidden="1" x14ac:dyDescent="0.25">
      <c r="A29" s="4" t="s">
        <v>102</v>
      </c>
      <c r="B29" s="5" t="s">
        <v>103</v>
      </c>
      <c r="C29" s="4" t="s">
        <v>25</v>
      </c>
      <c r="D29" s="4" t="s">
        <v>101</v>
      </c>
      <c r="E29" s="4" t="s">
        <v>27</v>
      </c>
      <c r="F29" s="4" t="s">
        <v>95</v>
      </c>
      <c r="G29" s="4">
        <v>14</v>
      </c>
      <c r="H29" s="4">
        <v>2</v>
      </c>
      <c r="I29" s="4" t="s">
        <v>96</v>
      </c>
      <c r="J29" s="4" t="b">
        <v>1</v>
      </c>
      <c r="K29" s="4" t="s">
        <v>9</v>
      </c>
      <c r="L29" s="6">
        <v>24.498999999999999</v>
      </c>
      <c r="M29" s="4">
        <v>1</v>
      </c>
      <c r="N29" s="4">
        <v>1</v>
      </c>
      <c r="O29" s="4">
        <v>1</v>
      </c>
      <c r="P29" s="4">
        <v>3050</v>
      </c>
      <c r="Q29" s="4">
        <v>2304</v>
      </c>
      <c r="R29" s="4">
        <v>1070</v>
      </c>
      <c r="S29" s="4">
        <v>516</v>
      </c>
      <c r="T29" s="4">
        <v>4120</v>
      </c>
      <c r="U29" s="7">
        <v>1.8491E-2</v>
      </c>
      <c r="V29" s="8"/>
      <c r="W29" s="8"/>
    </row>
    <row r="30" spans="1:23" hidden="1" x14ac:dyDescent="0.25">
      <c r="A30" s="4" t="s">
        <v>104</v>
      </c>
      <c r="B30" s="5" t="s">
        <v>105</v>
      </c>
      <c r="C30" s="4" t="s">
        <v>25</v>
      </c>
      <c r="D30" s="4" t="s">
        <v>106</v>
      </c>
      <c r="E30" s="4" t="s">
        <v>27</v>
      </c>
      <c r="F30" s="4" t="s">
        <v>95</v>
      </c>
      <c r="G30" s="4">
        <v>15</v>
      </c>
      <c r="H30" s="4">
        <v>3</v>
      </c>
      <c r="I30" s="4" t="s">
        <v>96</v>
      </c>
      <c r="J30" s="4" t="b">
        <v>1</v>
      </c>
      <c r="K30" s="4" t="s">
        <v>9</v>
      </c>
      <c r="L30" s="6">
        <v>19.190000000000001</v>
      </c>
      <c r="M30" s="4">
        <v>1</v>
      </c>
      <c r="N30" s="4">
        <v>1</v>
      </c>
      <c r="O30" s="4">
        <v>1</v>
      </c>
      <c r="P30" s="4">
        <v>3050</v>
      </c>
      <c r="Q30" s="4">
        <v>0</v>
      </c>
      <c r="R30" s="4">
        <v>849</v>
      </c>
      <c r="S30" s="4">
        <v>516</v>
      </c>
      <c r="T30" s="4">
        <v>3899</v>
      </c>
      <c r="U30" s="7">
        <v>2.036E-2</v>
      </c>
      <c r="V30" s="8"/>
      <c r="W30" s="8"/>
    </row>
    <row r="31" spans="1:23" hidden="1" x14ac:dyDescent="0.25">
      <c r="A31" s="4" t="s">
        <v>107</v>
      </c>
      <c r="B31" s="5" t="s">
        <v>108</v>
      </c>
      <c r="C31" s="4" t="s">
        <v>25</v>
      </c>
      <c r="D31" s="4" t="s">
        <v>106</v>
      </c>
      <c r="E31" s="4" t="s">
        <v>27</v>
      </c>
      <c r="F31" s="4" t="s">
        <v>95</v>
      </c>
      <c r="G31" s="4">
        <v>15</v>
      </c>
      <c r="H31" s="4">
        <v>3</v>
      </c>
      <c r="I31" s="4" t="s">
        <v>96</v>
      </c>
      <c r="J31" s="4" t="b">
        <v>1</v>
      </c>
      <c r="K31" s="4" t="s">
        <v>9</v>
      </c>
      <c r="L31" s="6">
        <v>31.379000000000001</v>
      </c>
      <c r="M31" s="4">
        <v>1</v>
      </c>
      <c r="N31" s="4">
        <v>1</v>
      </c>
      <c r="O31" s="4">
        <v>1</v>
      </c>
      <c r="P31" s="4">
        <v>3050</v>
      </c>
      <c r="Q31" s="4">
        <v>2304</v>
      </c>
      <c r="R31" s="4">
        <v>1214</v>
      </c>
      <c r="S31" s="4">
        <v>874</v>
      </c>
      <c r="T31" s="4">
        <v>4264</v>
      </c>
      <c r="U31" s="7">
        <v>2.0650999999999999E-2</v>
      </c>
      <c r="V31" s="8"/>
      <c r="W31" s="8"/>
    </row>
    <row r="32" spans="1:23" hidden="1" x14ac:dyDescent="0.25">
      <c r="A32" s="4" t="s">
        <v>109</v>
      </c>
      <c r="B32" s="5" t="s">
        <v>110</v>
      </c>
      <c r="C32" s="4" t="s">
        <v>25</v>
      </c>
      <c r="D32" s="4" t="s">
        <v>111</v>
      </c>
      <c r="E32" s="4" t="s">
        <v>27</v>
      </c>
      <c r="F32" s="4" t="s">
        <v>95</v>
      </c>
      <c r="G32" s="4">
        <v>16</v>
      </c>
      <c r="H32" s="4">
        <v>4</v>
      </c>
      <c r="I32" s="4" t="s">
        <v>96</v>
      </c>
      <c r="J32" s="4" t="b">
        <v>1</v>
      </c>
      <c r="K32" s="4" t="s">
        <v>9</v>
      </c>
      <c r="L32" s="6">
        <v>47.441000000000003</v>
      </c>
      <c r="M32" s="4">
        <v>1</v>
      </c>
      <c r="N32" s="4">
        <v>1</v>
      </c>
      <c r="O32" s="4">
        <v>1</v>
      </c>
      <c r="P32" s="4">
        <v>3048</v>
      </c>
      <c r="Q32" s="4">
        <v>0</v>
      </c>
      <c r="R32" s="4">
        <v>1673</v>
      </c>
      <c r="S32" s="4">
        <v>1190</v>
      </c>
      <c r="T32" s="4">
        <v>4721</v>
      </c>
      <c r="U32" s="7">
        <v>3.2715000000000001E-2</v>
      </c>
      <c r="V32" s="8"/>
      <c r="W32" s="8"/>
    </row>
    <row r="33" spans="1:23" hidden="1" x14ac:dyDescent="0.25">
      <c r="A33" s="4" t="s">
        <v>112</v>
      </c>
      <c r="B33" s="5" t="s">
        <v>113</v>
      </c>
      <c r="C33" s="4" t="s">
        <v>25</v>
      </c>
      <c r="D33" s="4" t="s">
        <v>111</v>
      </c>
      <c r="E33" s="4" t="s">
        <v>27</v>
      </c>
      <c r="F33" s="4" t="s">
        <v>95</v>
      </c>
      <c r="G33" s="4">
        <v>16</v>
      </c>
      <c r="H33" s="4">
        <v>4</v>
      </c>
      <c r="I33" s="4" t="s">
        <v>96</v>
      </c>
      <c r="J33" s="4" t="b">
        <v>1</v>
      </c>
      <c r="K33" s="4" t="s">
        <v>9</v>
      </c>
      <c r="L33" s="6">
        <v>24.029</v>
      </c>
      <c r="M33" s="4">
        <v>1</v>
      </c>
      <c r="N33" s="4">
        <v>1</v>
      </c>
      <c r="O33" s="4">
        <v>1</v>
      </c>
      <c r="P33" s="4">
        <v>3048</v>
      </c>
      <c r="Q33" s="4">
        <v>0</v>
      </c>
      <c r="R33" s="4">
        <v>1005</v>
      </c>
      <c r="S33" s="4">
        <v>516</v>
      </c>
      <c r="T33" s="4">
        <v>4053</v>
      </c>
      <c r="U33" s="7">
        <v>2.2695E-2</v>
      </c>
      <c r="V33" s="8"/>
      <c r="W33" s="8"/>
    </row>
    <row r="34" spans="1:23" ht="30" customHeight="1" x14ac:dyDescent="0.25">
      <c r="A34" s="4" t="s">
        <v>114</v>
      </c>
      <c r="B34" s="5" t="s">
        <v>115</v>
      </c>
      <c r="C34" s="4" t="s">
        <v>25</v>
      </c>
      <c r="D34" s="4" t="s">
        <v>116</v>
      </c>
      <c r="E34" s="4" t="s">
        <v>117</v>
      </c>
      <c r="F34" s="4" t="s">
        <v>118</v>
      </c>
      <c r="G34" s="4"/>
      <c r="H34" s="4"/>
      <c r="I34" s="4" t="s">
        <v>119</v>
      </c>
      <c r="J34" s="4" t="b">
        <v>0</v>
      </c>
      <c r="K34" s="4" t="s">
        <v>120</v>
      </c>
      <c r="L34" s="6">
        <v>725.02499999999998</v>
      </c>
      <c r="M34" s="4">
        <v>10</v>
      </c>
      <c r="N34" s="4">
        <v>10</v>
      </c>
      <c r="O34" s="4">
        <v>1</v>
      </c>
      <c r="P34" s="4">
        <v>33210</v>
      </c>
      <c r="Q34" s="4">
        <v>0</v>
      </c>
      <c r="R34" s="4">
        <v>28801</v>
      </c>
      <c r="S34" s="4">
        <v>27140</v>
      </c>
      <c r="T34" s="4">
        <v>62011</v>
      </c>
      <c r="U34" s="7">
        <v>0.51504000000000005</v>
      </c>
      <c r="V34" s="8" t="s">
        <v>121</v>
      </c>
      <c r="W34" s="8"/>
    </row>
    <row r="35" spans="1:23" ht="30" customHeight="1" x14ac:dyDescent="0.25">
      <c r="A35" s="4" t="s">
        <v>122</v>
      </c>
      <c r="B35" s="5" t="s">
        <v>123</v>
      </c>
      <c r="C35" s="4" t="s">
        <v>25</v>
      </c>
      <c r="D35" s="4" t="s">
        <v>116</v>
      </c>
      <c r="E35" s="4" t="s">
        <v>117</v>
      </c>
      <c r="F35" s="4" t="s">
        <v>118</v>
      </c>
      <c r="G35" s="4"/>
      <c r="H35" s="4"/>
      <c r="I35" s="4" t="s">
        <v>119</v>
      </c>
      <c r="J35" s="4" t="b">
        <v>0</v>
      </c>
      <c r="K35" s="4" t="s">
        <v>120</v>
      </c>
      <c r="L35" s="6">
        <v>681.65</v>
      </c>
      <c r="M35" s="4">
        <v>10</v>
      </c>
      <c r="N35" s="4">
        <v>10</v>
      </c>
      <c r="O35" s="4">
        <v>0</v>
      </c>
      <c r="P35" s="4">
        <v>33216</v>
      </c>
      <c r="Q35" s="4">
        <v>0</v>
      </c>
      <c r="R35" s="4">
        <v>25967</v>
      </c>
      <c r="S35" s="4">
        <v>24522</v>
      </c>
      <c r="T35" s="4">
        <v>59183</v>
      </c>
      <c r="U35" s="7">
        <v>0.47254499999999999</v>
      </c>
      <c r="V35" s="8" t="s">
        <v>121</v>
      </c>
      <c r="W35" s="8"/>
    </row>
    <row r="36" spans="1:23" ht="30" customHeight="1" x14ac:dyDescent="0.25">
      <c r="A36" s="4" t="s">
        <v>124</v>
      </c>
      <c r="B36" s="5" t="s">
        <v>125</v>
      </c>
      <c r="C36" s="4" t="s">
        <v>25</v>
      </c>
      <c r="D36" s="4" t="s">
        <v>116</v>
      </c>
      <c r="E36" s="4" t="s">
        <v>117</v>
      </c>
      <c r="F36" s="4" t="s">
        <v>118</v>
      </c>
      <c r="G36" s="4"/>
      <c r="H36" s="4"/>
      <c r="I36" s="4" t="s">
        <v>119</v>
      </c>
      <c r="J36" s="4" t="b">
        <v>0</v>
      </c>
      <c r="K36" s="4" t="s">
        <v>120</v>
      </c>
      <c r="L36" s="6">
        <v>818.99400000000003</v>
      </c>
      <c r="M36" s="4">
        <v>10</v>
      </c>
      <c r="N36" s="4">
        <v>10</v>
      </c>
      <c r="O36" s="4">
        <v>1</v>
      </c>
      <c r="P36" s="4">
        <v>33615</v>
      </c>
      <c r="Q36" s="4">
        <v>0</v>
      </c>
      <c r="R36" s="4">
        <v>31421</v>
      </c>
      <c r="S36" s="4">
        <v>29953</v>
      </c>
      <c r="T36" s="4">
        <v>65036</v>
      </c>
      <c r="U36" s="7">
        <v>0.55535250000000003</v>
      </c>
      <c r="V36" s="8" t="s">
        <v>121</v>
      </c>
      <c r="W36" s="8"/>
    </row>
    <row r="37" spans="1:23" ht="30" customHeight="1" x14ac:dyDescent="0.25">
      <c r="A37" s="4" t="s">
        <v>126</v>
      </c>
      <c r="B37" s="5" t="s">
        <v>127</v>
      </c>
      <c r="C37" s="4" t="s">
        <v>25</v>
      </c>
      <c r="D37" s="4" t="s">
        <v>116</v>
      </c>
      <c r="E37" s="4" t="s">
        <v>117</v>
      </c>
      <c r="F37" s="4" t="s">
        <v>118</v>
      </c>
      <c r="G37" s="4"/>
      <c r="H37" s="4"/>
      <c r="I37" s="4" t="s">
        <v>119</v>
      </c>
      <c r="J37" s="4" t="b">
        <v>0</v>
      </c>
      <c r="K37" s="4" t="s">
        <v>120</v>
      </c>
      <c r="L37" s="6">
        <v>820.58500000000004</v>
      </c>
      <c r="M37" s="4">
        <v>10</v>
      </c>
      <c r="N37" s="4">
        <v>10</v>
      </c>
      <c r="O37" s="4">
        <v>0</v>
      </c>
      <c r="P37" s="4">
        <v>33561</v>
      </c>
      <c r="Q37" s="4">
        <v>0</v>
      </c>
      <c r="R37" s="4">
        <v>29960</v>
      </c>
      <c r="S37" s="4">
        <v>28500</v>
      </c>
      <c r="T37" s="4">
        <v>63521</v>
      </c>
      <c r="U37" s="7">
        <v>0.53330250000000001</v>
      </c>
      <c r="V37" s="8" t="s">
        <v>121</v>
      </c>
      <c r="W37" s="8"/>
    </row>
    <row r="38" spans="1:23" ht="30" customHeight="1" x14ac:dyDescent="0.25">
      <c r="A38" s="4" t="s">
        <v>128</v>
      </c>
      <c r="B38" s="5" t="s">
        <v>129</v>
      </c>
      <c r="C38" s="4" t="s">
        <v>25</v>
      </c>
      <c r="D38" s="4" t="s">
        <v>116</v>
      </c>
      <c r="E38" s="4" t="s">
        <v>117</v>
      </c>
      <c r="F38" s="4" t="s">
        <v>118</v>
      </c>
      <c r="G38" s="4"/>
      <c r="H38" s="4"/>
      <c r="I38" s="4" t="s">
        <v>119</v>
      </c>
      <c r="J38" s="4" t="b">
        <v>0</v>
      </c>
      <c r="K38" s="4" t="s">
        <v>120</v>
      </c>
      <c r="L38" s="6">
        <v>722.65099999999995</v>
      </c>
      <c r="M38" s="4">
        <v>10</v>
      </c>
      <c r="N38" s="4">
        <v>10</v>
      </c>
      <c r="O38" s="4">
        <v>0</v>
      </c>
      <c r="P38" s="4">
        <v>33489</v>
      </c>
      <c r="Q38" s="4">
        <v>0</v>
      </c>
      <c r="R38" s="4">
        <v>27653</v>
      </c>
      <c r="S38" s="4">
        <v>26185</v>
      </c>
      <c r="T38" s="4">
        <v>61142</v>
      </c>
      <c r="U38" s="7">
        <v>0.4985175</v>
      </c>
      <c r="V38" s="8" t="s">
        <v>121</v>
      </c>
      <c r="W38" s="8"/>
    </row>
    <row r="39" spans="1:23" ht="30" customHeight="1" x14ac:dyDescent="0.25">
      <c r="A39" s="4" t="s">
        <v>130</v>
      </c>
      <c r="B39" s="5" t="s">
        <v>131</v>
      </c>
      <c r="C39" s="4" t="s">
        <v>25</v>
      </c>
      <c r="D39" s="4" t="s">
        <v>116</v>
      </c>
      <c r="E39" s="4" t="s">
        <v>117</v>
      </c>
      <c r="F39" s="4" t="s">
        <v>118</v>
      </c>
      <c r="G39" s="4"/>
      <c r="H39" s="4"/>
      <c r="I39" s="4" t="s">
        <v>119</v>
      </c>
      <c r="J39" s="4" t="b">
        <v>0</v>
      </c>
      <c r="K39" s="4" t="s">
        <v>120</v>
      </c>
      <c r="L39" s="6">
        <v>795.303</v>
      </c>
      <c r="M39" s="4">
        <v>10</v>
      </c>
      <c r="N39" s="4">
        <v>10</v>
      </c>
      <c r="O39" s="4">
        <v>0</v>
      </c>
      <c r="P39" s="4">
        <v>33532</v>
      </c>
      <c r="Q39" s="4">
        <v>0</v>
      </c>
      <c r="R39" s="4">
        <v>29578</v>
      </c>
      <c r="S39" s="4">
        <v>28122</v>
      </c>
      <c r="T39" s="4">
        <v>63110</v>
      </c>
      <c r="U39" s="7">
        <v>0.52749999999999997</v>
      </c>
      <c r="V39" s="8" t="s">
        <v>121</v>
      </c>
      <c r="W39" s="8"/>
    </row>
    <row r="40" spans="1:23" ht="30" customHeight="1" x14ac:dyDescent="0.25">
      <c r="A40" s="4" t="s">
        <v>132</v>
      </c>
      <c r="B40" s="5" t="s">
        <v>133</v>
      </c>
      <c r="C40" s="4" t="s">
        <v>25</v>
      </c>
      <c r="D40" s="4" t="s">
        <v>116</v>
      </c>
      <c r="E40" s="4" t="s">
        <v>117</v>
      </c>
      <c r="F40" s="4" t="s">
        <v>118</v>
      </c>
      <c r="G40" s="4"/>
      <c r="H40" s="4"/>
      <c r="I40" s="4" t="s">
        <v>119</v>
      </c>
      <c r="J40" s="4" t="b">
        <v>0</v>
      </c>
      <c r="K40" s="4" t="s">
        <v>120</v>
      </c>
      <c r="L40" s="6">
        <v>691.45100000000002</v>
      </c>
      <c r="M40" s="4">
        <v>10</v>
      </c>
      <c r="N40" s="4">
        <v>10</v>
      </c>
      <c r="O40" s="4">
        <v>0</v>
      </c>
      <c r="P40" s="4">
        <v>33431</v>
      </c>
      <c r="Q40" s="4">
        <v>0</v>
      </c>
      <c r="R40" s="4">
        <v>26035</v>
      </c>
      <c r="S40" s="4">
        <v>24571</v>
      </c>
      <c r="T40" s="4">
        <v>59466</v>
      </c>
      <c r="U40" s="7">
        <v>0.47410249999999998</v>
      </c>
      <c r="V40" s="8" t="s">
        <v>121</v>
      </c>
      <c r="W40" s="8"/>
    </row>
    <row r="41" spans="1:23" ht="30" customHeight="1" x14ac:dyDescent="0.25">
      <c r="A41" s="4" t="s">
        <v>134</v>
      </c>
      <c r="B41" s="5" t="s">
        <v>135</v>
      </c>
      <c r="C41" s="4" t="s">
        <v>25</v>
      </c>
      <c r="D41" s="4" t="s">
        <v>116</v>
      </c>
      <c r="E41" s="4" t="s">
        <v>117</v>
      </c>
      <c r="F41" s="4" t="s">
        <v>118</v>
      </c>
      <c r="G41" s="4"/>
      <c r="H41" s="4"/>
      <c r="I41" s="4" t="s">
        <v>119</v>
      </c>
      <c r="J41" s="4" t="b">
        <v>0</v>
      </c>
      <c r="K41" s="4" t="s">
        <v>120</v>
      </c>
      <c r="L41" s="6">
        <v>921.21900000000005</v>
      </c>
      <c r="M41" s="4">
        <v>10</v>
      </c>
      <c r="N41" s="4">
        <v>10</v>
      </c>
      <c r="O41" s="4">
        <v>2</v>
      </c>
      <c r="P41" s="4">
        <v>33365</v>
      </c>
      <c r="Q41" s="4">
        <v>0</v>
      </c>
      <c r="R41" s="4">
        <v>32649</v>
      </c>
      <c r="S41" s="4">
        <v>31153</v>
      </c>
      <c r="T41" s="4">
        <v>66014</v>
      </c>
      <c r="U41" s="7">
        <v>0.57314750000000003</v>
      </c>
      <c r="V41" s="8" t="s">
        <v>121</v>
      </c>
      <c r="W41" s="8"/>
    </row>
    <row r="42" spans="1:23" ht="30" customHeight="1" x14ac:dyDescent="0.25">
      <c r="A42" s="4" t="s">
        <v>136</v>
      </c>
      <c r="B42" s="5" t="s">
        <v>137</v>
      </c>
      <c r="C42" s="4" t="s">
        <v>25</v>
      </c>
      <c r="D42" s="4" t="s">
        <v>116</v>
      </c>
      <c r="E42" s="4" t="s">
        <v>117</v>
      </c>
      <c r="F42" s="4" t="s">
        <v>118</v>
      </c>
      <c r="G42" s="4"/>
      <c r="H42" s="4"/>
      <c r="I42" s="4" t="s">
        <v>119</v>
      </c>
      <c r="J42" s="4" t="b">
        <v>0</v>
      </c>
      <c r="K42" s="4" t="s">
        <v>120</v>
      </c>
      <c r="L42" s="6">
        <v>497.61399999999998</v>
      </c>
      <c r="M42" s="4">
        <v>10</v>
      </c>
      <c r="N42" s="4">
        <v>10</v>
      </c>
      <c r="O42" s="4">
        <v>0</v>
      </c>
      <c r="P42" s="4">
        <v>33465</v>
      </c>
      <c r="Q42" s="4">
        <v>0</v>
      </c>
      <c r="R42" s="4">
        <v>17568</v>
      </c>
      <c r="S42" s="4">
        <v>16069</v>
      </c>
      <c r="T42" s="4">
        <v>51033</v>
      </c>
      <c r="U42" s="7">
        <v>0.3471825</v>
      </c>
      <c r="V42" s="8" t="s">
        <v>121</v>
      </c>
      <c r="W42" s="8"/>
    </row>
    <row r="43" spans="1:23" ht="30" customHeight="1" x14ac:dyDescent="0.25">
      <c r="A43" s="4" t="s">
        <v>138</v>
      </c>
      <c r="B43" s="5" t="s">
        <v>139</v>
      </c>
      <c r="C43" s="4" t="s">
        <v>25</v>
      </c>
      <c r="D43" s="4" t="s">
        <v>116</v>
      </c>
      <c r="E43" s="4" t="s">
        <v>117</v>
      </c>
      <c r="F43" s="4" t="s">
        <v>118</v>
      </c>
      <c r="G43" s="4"/>
      <c r="H43" s="4"/>
      <c r="I43" s="4" t="s">
        <v>119</v>
      </c>
      <c r="J43" s="4" t="b">
        <v>0</v>
      </c>
      <c r="K43" s="4" t="s">
        <v>120</v>
      </c>
      <c r="L43" s="6">
        <v>900.86699999999996</v>
      </c>
      <c r="M43" s="4">
        <v>10</v>
      </c>
      <c r="N43" s="4">
        <v>10</v>
      </c>
      <c r="O43" s="4">
        <v>0</v>
      </c>
      <c r="P43" s="4">
        <v>37843</v>
      </c>
      <c r="Q43" s="4">
        <v>0</v>
      </c>
      <c r="R43" s="4">
        <v>23217</v>
      </c>
      <c r="S43" s="4">
        <v>21748</v>
      </c>
      <c r="T43" s="4">
        <v>61060</v>
      </c>
      <c r="U43" s="7">
        <v>0.44286249999999999</v>
      </c>
      <c r="V43" s="8" t="s">
        <v>121</v>
      </c>
      <c r="W43" s="8"/>
    </row>
    <row r="44" spans="1:23" ht="30" customHeight="1" x14ac:dyDescent="0.25">
      <c r="A44" s="4" t="s">
        <v>140</v>
      </c>
      <c r="B44" s="5" t="s">
        <v>141</v>
      </c>
      <c r="C44" s="4" t="s">
        <v>25</v>
      </c>
      <c r="D44" s="4" t="s">
        <v>116</v>
      </c>
      <c r="E44" s="4" t="s">
        <v>117</v>
      </c>
      <c r="F44" s="4" t="s">
        <v>118</v>
      </c>
      <c r="G44" s="4"/>
      <c r="H44" s="4"/>
      <c r="I44" s="4" t="s">
        <v>119</v>
      </c>
      <c r="J44" s="4" t="b">
        <v>0</v>
      </c>
      <c r="K44" s="4" t="s">
        <v>120</v>
      </c>
      <c r="L44" s="6">
        <v>684.53200000000004</v>
      </c>
      <c r="M44" s="4">
        <v>10</v>
      </c>
      <c r="N44" s="4">
        <v>10</v>
      </c>
      <c r="O44" s="4">
        <v>0</v>
      </c>
      <c r="P44" s="4">
        <v>33462</v>
      </c>
      <c r="Q44" s="4">
        <v>0</v>
      </c>
      <c r="R44" s="4">
        <v>23944</v>
      </c>
      <c r="S44" s="4">
        <v>22476</v>
      </c>
      <c r="T44" s="4">
        <v>57406</v>
      </c>
      <c r="U44" s="7">
        <v>0.44281500000000001</v>
      </c>
      <c r="V44" s="8" t="s">
        <v>121</v>
      </c>
      <c r="W44" s="8"/>
    </row>
    <row r="45" spans="1:23" ht="30" customHeight="1" x14ac:dyDescent="0.25">
      <c r="A45" s="4" t="s">
        <v>142</v>
      </c>
      <c r="B45" s="5" t="s">
        <v>143</v>
      </c>
      <c r="C45" s="4" t="s">
        <v>25</v>
      </c>
      <c r="D45" s="4" t="s">
        <v>116</v>
      </c>
      <c r="E45" s="4" t="s">
        <v>117</v>
      </c>
      <c r="F45" s="4" t="s">
        <v>118</v>
      </c>
      <c r="G45" s="4"/>
      <c r="H45" s="4"/>
      <c r="I45" s="4" t="s">
        <v>119</v>
      </c>
      <c r="J45" s="4" t="b">
        <v>0</v>
      </c>
      <c r="K45" s="4" t="s">
        <v>120</v>
      </c>
      <c r="L45" s="6">
        <v>884.86</v>
      </c>
      <c r="M45" s="4">
        <v>10</v>
      </c>
      <c r="N45" s="4">
        <v>10</v>
      </c>
      <c r="O45" s="4">
        <v>0</v>
      </c>
      <c r="P45" s="4">
        <v>33532</v>
      </c>
      <c r="Q45" s="4">
        <v>0</v>
      </c>
      <c r="R45" s="4">
        <v>30634</v>
      </c>
      <c r="S45" s="4">
        <v>29169</v>
      </c>
      <c r="T45" s="4">
        <v>64166</v>
      </c>
      <c r="U45" s="7">
        <v>0.54334000000000005</v>
      </c>
      <c r="V45" s="8" t="s">
        <v>121</v>
      </c>
      <c r="W45" s="8"/>
    </row>
    <row r="46" spans="1:23" ht="30" customHeight="1" x14ac:dyDescent="0.25">
      <c r="A46" s="4" t="s">
        <v>144</v>
      </c>
      <c r="B46" s="5" t="s">
        <v>145</v>
      </c>
      <c r="C46" s="4" t="s">
        <v>25</v>
      </c>
      <c r="D46" s="4" t="s">
        <v>116</v>
      </c>
      <c r="E46" s="4" t="s">
        <v>117</v>
      </c>
      <c r="F46" s="4" t="s">
        <v>118</v>
      </c>
      <c r="G46" s="4"/>
      <c r="H46" s="4"/>
      <c r="I46" s="4" t="s">
        <v>119</v>
      </c>
      <c r="J46" s="4" t="b">
        <v>0</v>
      </c>
      <c r="K46" s="4" t="s">
        <v>120</v>
      </c>
      <c r="L46" s="6">
        <v>635.904</v>
      </c>
      <c r="M46" s="4">
        <v>10</v>
      </c>
      <c r="N46" s="4">
        <v>10</v>
      </c>
      <c r="O46" s="4">
        <v>0</v>
      </c>
      <c r="P46" s="4">
        <v>33377</v>
      </c>
      <c r="Q46" s="4">
        <v>0</v>
      </c>
      <c r="R46" s="4">
        <v>21189</v>
      </c>
      <c r="S46" s="4">
        <v>19750</v>
      </c>
      <c r="T46" s="4">
        <v>54566</v>
      </c>
      <c r="U46" s="7">
        <v>0.40127750000000001</v>
      </c>
      <c r="V46" s="8" t="s">
        <v>121</v>
      </c>
      <c r="W46" s="8"/>
    </row>
    <row r="47" spans="1:23" ht="30" customHeight="1" x14ac:dyDescent="0.25">
      <c r="A47" s="4" t="s">
        <v>146</v>
      </c>
      <c r="B47" s="5" t="s">
        <v>147</v>
      </c>
      <c r="C47" s="4" t="s">
        <v>25</v>
      </c>
      <c r="D47" s="4" t="s">
        <v>116</v>
      </c>
      <c r="E47" s="4" t="s">
        <v>117</v>
      </c>
      <c r="F47" s="4" t="s">
        <v>118</v>
      </c>
      <c r="G47" s="4"/>
      <c r="H47" s="4"/>
      <c r="I47" s="4" t="s">
        <v>119</v>
      </c>
      <c r="J47" s="4" t="b">
        <v>0</v>
      </c>
      <c r="K47" s="4" t="s">
        <v>120</v>
      </c>
      <c r="L47" s="6">
        <v>645.01199999999994</v>
      </c>
      <c r="M47" s="4">
        <v>10</v>
      </c>
      <c r="N47" s="4">
        <v>10</v>
      </c>
      <c r="O47" s="4">
        <v>0</v>
      </c>
      <c r="P47" s="4">
        <v>33460</v>
      </c>
      <c r="Q47" s="4">
        <v>0</v>
      </c>
      <c r="R47" s="4">
        <v>21437</v>
      </c>
      <c r="S47" s="4">
        <v>20000</v>
      </c>
      <c r="T47" s="4">
        <v>54897</v>
      </c>
      <c r="U47" s="7">
        <v>0.40520499999999998</v>
      </c>
      <c r="V47" s="8" t="s">
        <v>121</v>
      </c>
      <c r="W47" s="8"/>
    </row>
    <row r="48" spans="1:23" ht="30" customHeight="1" x14ac:dyDescent="0.25">
      <c r="A48" s="4" t="s">
        <v>148</v>
      </c>
      <c r="B48" s="5" t="s">
        <v>149</v>
      </c>
      <c r="C48" s="4" t="s">
        <v>25</v>
      </c>
      <c r="D48" s="4" t="s">
        <v>116</v>
      </c>
      <c r="E48" s="4" t="s">
        <v>117</v>
      </c>
      <c r="F48" s="4" t="s">
        <v>118</v>
      </c>
      <c r="G48" s="4"/>
      <c r="H48" s="4"/>
      <c r="I48" s="4" t="s">
        <v>119</v>
      </c>
      <c r="J48" s="4" t="b">
        <v>0</v>
      </c>
      <c r="K48" s="4" t="s">
        <v>120</v>
      </c>
      <c r="L48" s="6">
        <v>706.95899999999995</v>
      </c>
      <c r="M48" s="4">
        <v>10</v>
      </c>
      <c r="N48" s="4">
        <v>10</v>
      </c>
      <c r="O48" s="4">
        <v>1</v>
      </c>
      <c r="P48" s="4">
        <v>33247</v>
      </c>
      <c r="Q48" s="4">
        <v>0</v>
      </c>
      <c r="R48" s="4">
        <v>24802</v>
      </c>
      <c r="S48" s="4">
        <v>23397</v>
      </c>
      <c r="T48" s="4">
        <v>58049</v>
      </c>
      <c r="U48" s="7">
        <v>0.45514749999999998</v>
      </c>
      <c r="V48" s="8" t="s">
        <v>121</v>
      </c>
      <c r="W48" s="8"/>
    </row>
    <row r="49" spans="1:23" ht="30" customHeight="1" x14ac:dyDescent="0.25">
      <c r="A49" s="4" t="s">
        <v>150</v>
      </c>
      <c r="B49" s="5" t="s">
        <v>151</v>
      </c>
      <c r="C49" s="4" t="s">
        <v>25</v>
      </c>
      <c r="D49" s="4" t="s">
        <v>116</v>
      </c>
      <c r="E49" s="4" t="s">
        <v>117</v>
      </c>
      <c r="F49" s="4" t="s">
        <v>118</v>
      </c>
      <c r="G49" s="4"/>
      <c r="H49" s="4"/>
      <c r="I49" s="4" t="s">
        <v>119</v>
      </c>
      <c r="J49" s="4" t="b">
        <v>0</v>
      </c>
      <c r="K49" s="4" t="s">
        <v>120</v>
      </c>
      <c r="L49" s="6">
        <v>863.32899999999995</v>
      </c>
      <c r="M49" s="4">
        <v>10</v>
      </c>
      <c r="N49" s="4">
        <v>10</v>
      </c>
      <c r="O49" s="4">
        <v>1</v>
      </c>
      <c r="P49" s="4">
        <v>33546</v>
      </c>
      <c r="Q49" s="4">
        <v>2816</v>
      </c>
      <c r="R49" s="4">
        <v>26388</v>
      </c>
      <c r="S49" s="4">
        <v>24918</v>
      </c>
      <c r="T49" s="4">
        <v>59934</v>
      </c>
      <c r="U49" s="7">
        <v>0.47334900000000002</v>
      </c>
      <c r="V49" s="8" t="s">
        <v>121</v>
      </c>
      <c r="W49" s="8"/>
    </row>
    <row r="50" spans="1:23" ht="30" customHeight="1" x14ac:dyDescent="0.25">
      <c r="A50" s="4" t="s">
        <v>152</v>
      </c>
      <c r="B50" s="5" t="s">
        <v>153</v>
      </c>
      <c r="C50" s="4" t="s">
        <v>25</v>
      </c>
      <c r="D50" s="4" t="s">
        <v>116</v>
      </c>
      <c r="E50" s="4" t="s">
        <v>117</v>
      </c>
      <c r="F50" s="4" t="s">
        <v>118</v>
      </c>
      <c r="G50" s="4"/>
      <c r="H50" s="4"/>
      <c r="I50" s="4" t="s">
        <v>119</v>
      </c>
      <c r="J50" s="4" t="b">
        <v>0</v>
      </c>
      <c r="K50" s="4" t="s">
        <v>120</v>
      </c>
      <c r="L50" s="6">
        <v>772.63199999999995</v>
      </c>
      <c r="M50" s="4">
        <v>10</v>
      </c>
      <c r="N50" s="4">
        <v>10</v>
      </c>
      <c r="O50" s="4">
        <v>0</v>
      </c>
      <c r="P50" s="4">
        <v>33540</v>
      </c>
      <c r="Q50" s="4">
        <v>0</v>
      </c>
      <c r="R50" s="4">
        <v>27394</v>
      </c>
      <c r="S50" s="4">
        <v>25918</v>
      </c>
      <c r="T50" s="4">
        <v>60934</v>
      </c>
      <c r="U50" s="7">
        <v>0.49475999999999998</v>
      </c>
      <c r="V50" s="8" t="s">
        <v>121</v>
      </c>
      <c r="W50" s="8"/>
    </row>
    <row r="51" spans="1:23" ht="30" customHeight="1" x14ac:dyDescent="0.25">
      <c r="A51" s="4" t="s">
        <v>154</v>
      </c>
      <c r="B51" s="5" t="s">
        <v>155</v>
      </c>
      <c r="C51" s="4" t="s">
        <v>25</v>
      </c>
      <c r="D51" s="4" t="s">
        <v>116</v>
      </c>
      <c r="E51" s="4" t="s">
        <v>117</v>
      </c>
      <c r="F51" s="4" t="s">
        <v>118</v>
      </c>
      <c r="G51" s="4"/>
      <c r="H51" s="4"/>
      <c r="I51" s="4" t="s">
        <v>119</v>
      </c>
      <c r="J51" s="4" t="b">
        <v>0</v>
      </c>
      <c r="K51" s="4" t="s">
        <v>120</v>
      </c>
      <c r="L51" s="6">
        <v>840.64</v>
      </c>
      <c r="M51" s="4">
        <v>10</v>
      </c>
      <c r="N51" s="4">
        <v>10</v>
      </c>
      <c r="O51" s="4">
        <v>0</v>
      </c>
      <c r="P51" s="4">
        <v>33526</v>
      </c>
      <c r="Q51" s="4">
        <v>0</v>
      </c>
      <c r="R51" s="4">
        <v>28670</v>
      </c>
      <c r="S51" s="4">
        <v>27050</v>
      </c>
      <c r="T51" s="4">
        <v>62196</v>
      </c>
      <c r="U51" s="7">
        <v>0.51386500000000002</v>
      </c>
      <c r="V51" s="8" t="s">
        <v>121</v>
      </c>
      <c r="W51" s="8"/>
    </row>
    <row r="52" spans="1:23" ht="30" customHeight="1" x14ac:dyDescent="0.25">
      <c r="A52" s="4" t="s">
        <v>156</v>
      </c>
      <c r="B52" s="5" t="s">
        <v>157</v>
      </c>
      <c r="C52" s="4" t="s">
        <v>25</v>
      </c>
      <c r="D52" s="4" t="s">
        <v>116</v>
      </c>
      <c r="E52" s="4" t="s">
        <v>117</v>
      </c>
      <c r="F52" s="4" t="s">
        <v>118</v>
      </c>
      <c r="G52" s="4"/>
      <c r="H52" s="4"/>
      <c r="I52" s="4" t="s">
        <v>119</v>
      </c>
      <c r="J52" s="4" t="b">
        <v>0</v>
      </c>
      <c r="K52" s="4" t="s">
        <v>120</v>
      </c>
      <c r="L52" s="6">
        <v>900.78099999999995</v>
      </c>
      <c r="M52" s="4">
        <v>10</v>
      </c>
      <c r="N52" s="4">
        <v>10</v>
      </c>
      <c r="O52" s="4">
        <v>0</v>
      </c>
      <c r="P52" s="4">
        <v>33413</v>
      </c>
      <c r="Q52" s="4">
        <v>0</v>
      </c>
      <c r="R52" s="4">
        <v>23623</v>
      </c>
      <c r="S52" s="4">
        <v>22176</v>
      </c>
      <c r="T52" s="4">
        <v>57036</v>
      </c>
      <c r="U52" s="7">
        <v>0.43787749999999998</v>
      </c>
      <c r="V52" s="8" t="s">
        <v>121</v>
      </c>
      <c r="W52" s="8"/>
    </row>
    <row r="53" spans="1:23" ht="30" x14ac:dyDescent="0.25">
      <c r="A53" s="4" t="s">
        <v>158</v>
      </c>
      <c r="B53" s="5" t="s">
        <v>159</v>
      </c>
      <c r="C53" s="4" t="s">
        <v>25</v>
      </c>
      <c r="D53" s="4" t="s">
        <v>116</v>
      </c>
      <c r="E53" s="4" t="s">
        <v>117</v>
      </c>
      <c r="F53" s="4" t="s">
        <v>118</v>
      </c>
      <c r="G53" s="4"/>
      <c r="H53" s="4"/>
      <c r="I53" s="4" t="s">
        <v>119</v>
      </c>
      <c r="J53" s="4" t="b">
        <v>0</v>
      </c>
      <c r="K53" s="4" t="s">
        <v>120</v>
      </c>
      <c r="L53" s="6">
        <v>1009.234</v>
      </c>
      <c r="M53" s="4">
        <v>10</v>
      </c>
      <c r="N53" s="4">
        <v>10</v>
      </c>
      <c r="O53" s="4">
        <v>0</v>
      </c>
      <c r="P53" s="4">
        <v>33494</v>
      </c>
      <c r="Q53" s="4">
        <v>0</v>
      </c>
      <c r="R53" s="4">
        <v>25808</v>
      </c>
      <c r="S53" s="4">
        <v>24303</v>
      </c>
      <c r="T53" s="4">
        <v>59302</v>
      </c>
      <c r="U53" s="7">
        <v>0.47085500000000002</v>
      </c>
      <c r="V53" s="8" t="s">
        <v>121</v>
      </c>
      <c r="W53" s="8"/>
    </row>
    <row r="54" spans="1:23" ht="30" x14ac:dyDescent="0.25">
      <c r="A54" s="4" t="s">
        <v>160</v>
      </c>
      <c r="B54" s="5" t="s">
        <v>161</v>
      </c>
      <c r="C54" s="4" t="s">
        <v>25</v>
      </c>
      <c r="D54" s="4" t="s">
        <v>116</v>
      </c>
      <c r="E54" s="4" t="s">
        <v>117</v>
      </c>
      <c r="F54" s="4" t="s">
        <v>118</v>
      </c>
      <c r="G54" s="4"/>
      <c r="H54" s="4"/>
      <c r="I54" s="4" t="s">
        <v>119</v>
      </c>
      <c r="J54" s="4" t="b">
        <v>0</v>
      </c>
      <c r="K54" s="4" t="s">
        <v>120</v>
      </c>
      <c r="L54" s="6">
        <v>813.44100000000003</v>
      </c>
      <c r="M54" s="4">
        <v>10</v>
      </c>
      <c r="N54" s="4">
        <v>10</v>
      </c>
      <c r="O54" s="4">
        <v>0</v>
      </c>
      <c r="P54" s="4">
        <v>33448</v>
      </c>
      <c r="Q54" s="4">
        <v>0</v>
      </c>
      <c r="R54" s="4">
        <v>23390</v>
      </c>
      <c r="S54" s="4">
        <v>21934</v>
      </c>
      <c r="T54" s="4">
        <v>56838</v>
      </c>
      <c r="U54" s="7">
        <v>0.43447000000000002</v>
      </c>
      <c r="V54" s="8" t="s">
        <v>121</v>
      </c>
      <c r="W54" s="8"/>
    </row>
    <row r="55" spans="1:23" ht="30" x14ac:dyDescent="0.25">
      <c r="A55" s="4" t="s">
        <v>162</v>
      </c>
      <c r="B55" s="5" t="s">
        <v>163</v>
      </c>
      <c r="C55" s="4" t="s">
        <v>25</v>
      </c>
      <c r="D55" s="4" t="s">
        <v>116</v>
      </c>
      <c r="E55" s="4" t="s">
        <v>117</v>
      </c>
      <c r="F55" s="4" t="s">
        <v>118</v>
      </c>
      <c r="G55" s="4"/>
      <c r="H55" s="4"/>
      <c r="I55" s="4" t="s">
        <v>119</v>
      </c>
      <c r="J55" s="4" t="b">
        <v>0</v>
      </c>
      <c r="K55" s="4" t="s">
        <v>120</v>
      </c>
      <c r="L55" s="6">
        <v>734.17600000000004</v>
      </c>
      <c r="M55" s="4">
        <v>10</v>
      </c>
      <c r="N55" s="4">
        <v>10</v>
      </c>
      <c r="O55" s="4">
        <v>0</v>
      </c>
      <c r="P55" s="4">
        <v>33502</v>
      </c>
      <c r="Q55" s="4">
        <v>0</v>
      </c>
      <c r="R55" s="4">
        <v>20430</v>
      </c>
      <c r="S55" s="4">
        <v>18860</v>
      </c>
      <c r="T55" s="4">
        <v>53932</v>
      </c>
      <c r="U55" s="7">
        <v>0.39020500000000002</v>
      </c>
      <c r="V55" s="8" t="s">
        <v>121</v>
      </c>
      <c r="W55" s="8"/>
    </row>
    <row r="56" spans="1:23" ht="30" x14ac:dyDescent="0.25">
      <c r="A56" s="4" t="s">
        <v>164</v>
      </c>
      <c r="B56" s="5" t="s">
        <v>165</v>
      </c>
      <c r="C56" s="4" t="s">
        <v>25</v>
      </c>
      <c r="D56" s="4" t="s">
        <v>116</v>
      </c>
      <c r="E56" s="4" t="s">
        <v>117</v>
      </c>
      <c r="F56" s="4" t="s">
        <v>118</v>
      </c>
      <c r="G56" s="4"/>
      <c r="H56" s="4"/>
      <c r="I56" s="4" t="s">
        <v>119</v>
      </c>
      <c r="J56" s="4" t="b">
        <v>0</v>
      </c>
      <c r="K56" s="4" t="s">
        <v>120</v>
      </c>
      <c r="L56" s="6">
        <v>897.23199999999997</v>
      </c>
      <c r="M56" s="4">
        <v>10</v>
      </c>
      <c r="N56" s="4">
        <v>10</v>
      </c>
      <c r="O56" s="4">
        <v>1</v>
      </c>
      <c r="P56" s="4">
        <v>33384</v>
      </c>
      <c r="Q56" s="4">
        <v>0</v>
      </c>
      <c r="R56" s="4">
        <v>28874</v>
      </c>
      <c r="S56" s="4">
        <v>27435</v>
      </c>
      <c r="T56" s="4">
        <v>62258</v>
      </c>
      <c r="U56" s="7">
        <v>0.51656999999999997</v>
      </c>
      <c r="V56" s="8" t="s">
        <v>121</v>
      </c>
      <c r="W56" s="8"/>
    </row>
    <row r="57" spans="1:23" ht="30" x14ac:dyDescent="0.25">
      <c r="A57" s="4" t="s">
        <v>166</v>
      </c>
      <c r="B57" s="5" t="s">
        <v>167</v>
      </c>
      <c r="C57" s="4" t="s">
        <v>25</v>
      </c>
      <c r="D57" s="4" t="s">
        <v>116</v>
      </c>
      <c r="E57" s="4" t="s">
        <v>117</v>
      </c>
      <c r="F57" s="4" t="s">
        <v>118</v>
      </c>
      <c r="G57" s="4"/>
      <c r="H57" s="4"/>
      <c r="I57" s="4" t="s">
        <v>119</v>
      </c>
      <c r="J57" s="4" t="b">
        <v>0</v>
      </c>
      <c r="K57" s="4" t="s">
        <v>120</v>
      </c>
      <c r="L57" s="6">
        <v>938.21100000000001</v>
      </c>
      <c r="M57" s="4">
        <v>10</v>
      </c>
      <c r="N57" s="4">
        <v>10</v>
      </c>
      <c r="O57" s="4">
        <v>0</v>
      </c>
      <c r="P57" s="4">
        <v>33525</v>
      </c>
      <c r="Q57" s="4">
        <v>0</v>
      </c>
      <c r="R57" s="4">
        <v>26430</v>
      </c>
      <c r="S57" s="4">
        <v>24815</v>
      </c>
      <c r="T57" s="4">
        <v>59955</v>
      </c>
      <c r="U57" s="7">
        <v>0.48026249999999998</v>
      </c>
      <c r="V57" s="8" t="s">
        <v>121</v>
      </c>
      <c r="W57" s="8"/>
    </row>
    <row r="58" spans="1:23" ht="30" x14ac:dyDescent="0.25">
      <c r="A58" s="4" t="s">
        <v>168</v>
      </c>
      <c r="B58" s="5" t="s">
        <v>169</v>
      </c>
      <c r="C58" s="4" t="s">
        <v>25</v>
      </c>
      <c r="D58" s="4" t="s">
        <v>116</v>
      </c>
      <c r="E58" s="4" t="s">
        <v>117</v>
      </c>
      <c r="F58" s="4" t="s">
        <v>118</v>
      </c>
      <c r="G58" s="4"/>
      <c r="H58" s="4"/>
      <c r="I58" s="4" t="s">
        <v>119</v>
      </c>
      <c r="J58" s="4" t="b">
        <v>0</v>
      </c>
      <c r="K58" s="4" t="s">
        <v>120</v>
      </c>
      <c r="L58" s="6">
        <v>727.26199999999994</v>
      </c>
      <c r="M58" s="4">
        <v>10</v>
      </c>
      <c r="N58" s="4">
        <v>10</v>
      </c>
      <c r="O58" s="4">
        <v>0</v>
      </c>
      <c r="P58" s="4">
        <v>33424</v>
      </c>
      <c r="Q58" s="4">
        <v>0</v>
      </c>
      <c r="R58" s="4">
        <v>22472</v>
      </c>
      <c r="S58" s="4">
        <v>20959</v>
      </c>
      <c r="T58" s="4">
        <v>55896</v>
      </c>
      <c r="U58" s="7">
        <v>0.42064000000000001</v>
      </c>
      <c r="V58" s="8" t="s">
        <v>121</v>
      </c>
      <c r="W58" s="8"/>
    </row>
    <row r="59" spans="1:23" ht="30" x14ac:dyDescent="0.25">
      <c r="A59" s="4" t="s">
        <v>170</v>
      </c>
      <c r="B59" s="5" t="s">
        <v>171</v>
      </c>
      <c r="C59" s="4" t="s">
        <v>25</v>
      </c>
      <c r="D59" s="4" t="s">
        <v>116</v>
      </c>
      <c r="E59" s="4" t="s">
        <v>117</v>
      </c>
      <c r="F59" s="4" t="s">
        <v>118</v>
      </c>
      <c r="G59" s="4"/>
      <c r="H59" s="4"/>
      <c r="I59" s="4" t="s">
        <v>119</v>
      </c>
      <c r="J59" s="4" t="b">
        <v>0</v>
      </c>
      <c r="K59" s="4" t="s">
        <v>120</v>
      </c>
      <c r="L59" s="6">
        <v>1102.443</v>
      </c>
      <c r="M59" s="4">
        <v>10</v>
      </c>
      <c r="N59" s="4">
        <v>10</v>
      </c>
      <c r="O59" s="4">
        <v>1</v>
      </c>
      <c r="P59" s="4">
        <v>33461</v>
      </c>
      <c r="Q59" s="4">
        <v>0</v>
      </c>
      <c r="R59" s="4">
        <v>26955</v>
      </c>
      <c r="S59" s="4">
        <v>25518</v>
      </c>
      <c r="T59" s="4">
        <v>60416</v>
      </c>
      <c r="U59" s="7">
        <v>0.48797750000000001</v>
      </c>
      <c r="V59" s="8" t="s">
        <v>121</v>
      </c>
      <c r="W59" s="8"/>
    </row>
    <row r="60" spans="1:23" ht="30" x14ac:dyDescent="0.25">
      <c r="A60" s="4" t="s">
        <v>172</v>
      </c>
      <c r="B60" s="5" t="s">
        <v>173</v>
      </c>
      <c r="C60" s="4" t="s">
        <v>25</v>
      </c>
      <c r="D60" s="4" t="s">
        <v>116</v>
      </c>
      <c r="E60" s="4" t="s">
        <v>117</v>
      </c>
      <c r="F60" s="4" t="s">
        <v>118</v>
      </c>
      <c r="G60" s="4"/>
      <c r="H60" s="4"/>
      <c r="I60" s="4" t="s">
        <v>119</v>
      </c>
      <c r="J60" s="4" t="b">
        <v>0</v>
      </c>
      <c r="K60" s="4" t="s">
        <v>120</v>
      </c>
      <c r="L60" s="6">
        <v>816.84900000000005</v>
      </c>
      <c r="M60" s="4">
        <v>10</v>
      </c>
      <c r="N60" s="4">
        <v>10</v>
      </c>
      <c r="O60" s="4">
        <v>0</v>
      </c>
      <c r="P60" s="4">
        <v>33434</v>
      </c>
      <c r="Q60" s="4">
        <v>0</v>
      </c>
      <c r="R60" s="4">
        <v>29169</v>
      </c>
      <c r="S60" s="4">
        <v>27697</v>
      </c>
      <c r="T60" s="4">
        <v>62603</v>
      </c>
      <c r="U60" s="7">
        <v>0.52112000000000003</v>
      </c>
      <c r="V60" s="8" t="s">
        <v>121</v>
      </c>
      <c r="W60" s="8"/>
    </row>
    <row r="61" spans="1:23" ht="30" x14ac:dyDescent="0.25">
      <c r="A61" s="4" t="s">
        <v>174</v>
      </c>
      <c r="B61" s="5" t="s">
        <v>175</v>
      </c>
      <c r="C61" s="4" t="s">
        <v>25</v>
      </c>
      <c r="D61" s="4" t="s">
        <v>116</v>
      </c>
      <c r="E61" s="4" t="s">
        <v>117</v>
      </c>
      <c r="F61" s="4" t="s">
        <v>118</v>
      </c>
      <c r="G61" s="4"/>
      <c r="H61" s="4"/>
      <c r="I61" s="4" t="s">
        <v>119</v>
      </c>
      <c r="J61" s="4" t="b">
        <v>0</v>
      </c>
      <c r="K61" s="4" t="s">
        <v>120</v>
      </c>
      <c r="L61" s="6">
        <v>625.66800000000001</v>
      </c>
      <c r="M61" s="4">
        <v>10</v>
      </c>
      <c r="N61" s="4">
        <v>10</v>
      </c>
      <c r="O61" s="4">
        <v>0</v>
      </c>
      <c r="P61" s="4">
        <v>33516</v>
      </c>
      <c r="Q61" s="4">
        <v>0</v>
      </c>
      <c r="R61" s="4">
        <v>22657</v>
      </c>
      <c r="S61" s="4">
        <v>21198</v>
      </c>
      <c r="T61" s="4">
        <v>56173</v>
      </c>
      <c r="U61" s="7">
        <v>0.42364499999999999</v>
      </c>
      <c r="V61" s="8" t="s">
        <v>121</v>
      </c>
      <c r="W61" s="8"/>
    </row>
    <row r="62" spans="1:23" ht="30" x14ac:dyDescent="0.25">
      <c r="A62" s="4" t="s">
        <v>176</v>
      </c>
      <c r="B62" s="5" t="s">
        <v>177</v>
      </c>
      <c r="C62" s="4" t="s">
        <v>25</v>
      </c>
      <c r="D62" s="4" t="s">
        <v>116</v>
      </c>
      <c r="E62" s="4" t="s">
        <v>117</v>
      </c>
      <c r="F62" s="4" t="s">
        <v>118</v>
      </c>
      <c r="G62" s="4"/>
      <c r="H62" s="4"/>
      <c r="I62" s="4" t="s">
        <v>119</v>
      </c>
      <c r="J62" s="4" t="b">
        <v>0</v>
      </c>
      <c r="K62" s="4" t="s">
        <v>120</v>
      </c>
      <c r="L62" s="6">
        <v>740.12599999999998</v>
      </c>
      <c r="M62" s="4">
        <v>10</v>
      </c>
      <c r="N62" s="4">
        <v>10</v>
      </c>
      <c r="O62" s="4">
        <v>0</v>
      </c>
      <c r="P62" s="4">
        <v>33445</v>
      </c>
      <c r="Q62" s="4">
        <v>0</v>
      </c>
      <c r="R62" s="4">
        <v>20391</v>
      </c>
      <c r="S62" s="4">
        <v>18927</v>
      </c>
      <c r="T62" s="4">
        <v>53836</v>
      </c>
      <c r="U62" s="7">
        <v>0.38947749999999998</v>
      </c>
      <c r="V62" s="8" t="s">
        <v>121</v>
      </c>
      <c r="W62" s="8"/>
    </row>
    <row r="63" spans="1:23" ht="30" x14ac:dyDescent="0.25">
      <c r="A63" s="4" t="s">
        <v>178</v>
      </c>
      <c r="B63" s="5" t="s">
        <v>179</v>
      </c>
      <c r="C63" s="4" t="s">
        <v>25</v>
      </c>
      <c r="D63" s="4" t="s">
        <v>116</v>
      </c>
      <c r="E63" s="4" t="s">
        <v>117</v>
      </c>
      <c r="F63" s="4" t="s">
        <v>118</v>
      </c>
      <c r="G63" s="4"/>
      <c r="H63" s="4"/>
      <c r="I63" s="4" t="s">
        <v>119</v>
      </c>
      <c r="J63" s="4" t="b">
        <v>0</v>
      </c>
      <c r="K63" s="4" t="s">
        <v>120</v>
      </c>
      <c r="L63" s="6">
        <v>832.22699999999998</v>
      </c>
      <c r="M63" s="4">
        <v>10</v>
      </c>
      <c r="N63" s="4">
        <v>10</v>
      </c>
      <c r="O63" s="4">
        <v>1</v>
      </c>
      <c r="P63" s="4">
        <v>33248</v>
      </c>
      <c r="Q63" s="4">
        <v>0</v>
      </c>
      <c r="R63" s="4">
        <v>29717</v>
      </c>
      <c r="S63" s="4">
        <v>28157</v>
      </c>
      <c r="T63" s="4">
        <v>62965</v>
      </c>
      <c r="U63" s="7">
        <v>0.52887499999999998</v>
      </c>
      <c r="V63" s="8" t="s">
        <v>121</v>
      </c>
      <c r="W63" s="8"/>
    </row>
    <row r="64" spans="1:23" ht="30" x14ac:dyDescent="0.25">
      <c r="A64" s="4" t="s">
        <v>180</v>
      </c>
      <c r="B64" s="5" t="s">
        <v>181</v>
      </c>
      <c r="C64" s="4" t="s">
        <v>25</v>
      </c>
      <c r="D64" s="4" t="s">
        <v>116</v>
      </c>
      <c r="E64" s="4" t="s">
        <v>117</v>
      </c>
      <c r="F64" s="4" t="s">
        <v>118</v>
      </c>
      <c r="G64" s="4"/>
      <c r="H64" s="4"/>
      <c r="I64" s="4" t="s">
        <v>119</v>
      </c>
      <c r="J64" s="4" t="b">
        <v>0</v>
      </c>
      <c r="K64" s="4" t="s">
        <v>120</v>
      </c>
      <c r="L64" s="6">
        <v>719.90300000000002</v>
      </c>
      <c r="M64" s="4">
        <v>10</v>
      </c>
      <c r="N64" s="4">
        <v>10</v>
      </c>
      <c r="O64" s="4">
        <v>1</v>
      </c>
      <c r="P64" s="4">
        <v>33524</v>
      </c>
      <c r="Q64" s="4">
        <v>0</v>
      </c>
      <c r="R64" s="4">
        <v>24839</v>
      </c>
      <c r="S64" s="4">
        <v>23394</v>
      </c>
      <c r="T64" s="4">
        <v>58363</v>
      </c>
      <c r="U64" s="7">
        <v>0.456395</v>
      </c>
      <c r="V64" s="8" t="s">
        <v>121</v>
      </c>
      <c r="W64" s="8"/>
    </row>
    <row r="65" spans="1:23" ht="30" x14ac:dyDescent="0.25">
      <c r="A65" s="4" t="s">
        <v>182</v>
      </c>
      <c r="B65" s="5" t="s">
        <v>183</v>
      </c>
      <c r="C65" s="4" t="s">
        <v>25</v>
      </c>
      <c r="D65" s="4" t="s">
        <v>116</v>
      </c>
      <c r="E65" s="4" t="s">
        <v>117</v>
      </c>
      <c r="F65" s="4" t="s">
        <v>118</v>
      </c>
      <c r="G65" s="4"/>
      <c r="H65" s="4"/>
      <c r="I65" s="4" t="s">
        <v>119</v>
      </c>
      <c r="J65" s="4" t="b">
        <v>0</v>
      </c>
      <c r="K65" s="4" t="s">
        <v>120</v>
      </c>
      <c r="L65" s="6">
        <v>758.87099999999998</v>
      </c>
      <c r="M65" s="4">
        <v>10</v>
      </c>
      <c r="N65" s="4">
        <v>10</v>
      </c>
      <c r="O65" s="4">
        <v>1</v>
      </c>
      <c r="P65" s="4">
        <v>33431</v>
      </c>
      <c r="Q65" s="4">
        <v>0</v>
      </c>
      <c r="R65" s="4">
        <v>26071</v>
      </c>
      <c r="S65" s="4">
        <v>24639</v>
      </c>
      <c r="T65" s="4">
        <v>59502</v>
      </c>
      <c r="U65" s="7">
        <v>0.47464250000000002</v>
      </c>
      <c r="V65" s="8" t="s">
        <v>121</v>
      </c>
      <c r="W65" s="8"/>
    </row>
  </sheetData>
  <autoFilter ref="A1:W65" xr:uid="{00000000-0009-0000-0000-000000000000}">
    <filterColumn colId="9">
      <filters>
        <filter val="FALSE"/>
      </filters>
    </filterColumn>
  </autoFilter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Nederīgs kļūdas veids" error="Izvēlies vienu no piedāvātajiem kļūdas veidiem vai atstāj tukšu." promptTitle="MI kļūdas veids" prompt="Aizpildi manuāli pēc ekrānattēlu un lēmumu vēstures pārbaudes." xr:uid="{00000000-0002-0000-0000-000000000000}">
          <x14:formula1>
            <xm:f>ErrorTypeOptions!$A$1:$A$6</xm:f>
          </x14:formula1>
          <xm:sqref>V2:V1048576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showGridLines="0" workbookViewId="0">
      <pane ySplit="12" topLeftCell="A13" activePane="bottomLeft" state="frozen"/>
      <selection pane="bottomLeft"/>
    </sheetView>
  </sheetViews>
  <sheetFormatPr defaultRowHeight="15" x14ac:dyDescent="0.25"/>
  <cols>
    <col min="1" max="1" width="22" customWidth="1"/>
    <col min="2" max="2" width="12" customWidth="1"/>
    <col min="3" max="3" width="14" customWidth="1"/>
    <col min="4" max="4" width="15" customWidth="1"/>
    <col min="5" max="5" width="18" customWidth="1"/>
    <col min="6" max="6" width="22" customWidth="1"/>
    <col min="7" max="7" width="20" customWidth="1"/>
    <col min="8" max="8" width="18" customWidth="1"/>
    <col min="9" max="9" width="20" customWidth="1"/>
  </cols>
  <sheetData>
    <row r="1" spans="1:9" ht="30" x14ac:dyDescent="0.25">
      <c r="A1" s="9" t="s">
        <v>184</v>
      </c>
      <c r="B1" s="9"/>
      <c r="C1" s="9"/>
      <c r="D1" s="9"/>
      <c r="E1" s="9"/>
      <c r="F1" s="9"/>
      <c r="G1" s="9"/>
      <c r="H1" s="9"/>
      <c r="I1" s="9"/>
    </row>
    <row r="3" spans="1:9" x14ac:dyDescent="0.25">
      <c r="A3" s="10" t="s">
        <v>185</v>
      </c>
      <c r="B3">
        <f>COUNTA(Runs!$A$2:$A$1048576)</f>
        <v>64</v>
      </c>
    </row>
    <row r="4" spans="1:9" x14ac:dyDescent="0.25">
      <c r="A4" s="10" t="s">
        <v>186</v>
      </c>
      <c r="B4">
        <f>COUNTIF(Runs!$J:$J,TRUE)</f>
        <v>28</v>
      </c>
    </row>
    <row r="5" spans="1:9" x14ac:dyDescent="0.25">
      <c r="A5" s="10" t="s">
        <v>187</v>
      </c>
      <c r="B5" s="1">
        <f>IFERROR(B4/B3,"")</f>
        <v>0.4375</v>
      </c>
    </row>
    <row r="6" spans="1:9" x14ac:dyDescent="0.25">
      <c r="A6" s="10" t="s">
        <v>188</v>
      </c>
      <c r="B6" s="2">
        <f>IFERROR(AVERAGE(Runs!$L:$L),"")</f>
        <v>427.07224999999988</v>
      </c>
    </row>
    <row r="7" spans="1:9" x14ac:dyDescent="0.25">
      <c r="A7" s="10" t="s">
        <v>189</v>
      </c>
      <c r="B7" s="2">
        <f>IFERROR(AVERAGE(Runs!$M:$M),"")</f>
        <v>6.078125</v>
      </c>
    </row>
    <row r="8" spans="1:9" x14ac:dyDescent="0.25">
      <c r="A8" s="10" t="s">
        <v>190</v>
      </c>
      <c r="B8">
        <f>SUM(Runs!$N:$N)</f>
        <v>389</v>
      </c>
    </row>
    <row r="9" spans="1:9" x14ac:dyDescent="0.25">
      <c r="A9" s="10" t="s">
        <v>191</v>
      </c>
      <c r="B9" s="3">
        <f>SUM(Runs!$U:$U)</f>
        <v>16.746090000000002</v>
      </c>
    </row>
    <row r="12" spans="1:9" x14ac:dyDescent="0.25">
      <c r="A12" s="9" t="s">
        <v>5</v>
      </c>
      <c r="B12" s="9" t="s">
        <v>192</v>
      </c>
      <c r="C12" s="9" t="s">
        <v>193</v>
      </c>
      <c r="D12" s="9" t="s">
        <v>194</v>
      </c>
      <c r="E12" s="9" t="s">
        <v>195</v>
      </c>
      <c r="F12" s="9" t="s">
        <v>196</v>
      </c>
      <c r="G12" s="9" t="s">
        <v>197</v>
      </c>
      <c r="H12" s="9" t="s">
        <v>13</v>
      </c>
      <c r="I12" s="9" t="s">
        <v>20</v>
      </c>
    </row>
    <row r="13" spans="1:9" x14ac:dyDescent="0.25">
      <c r="A13" t="s">
        <v>28</v>
      </c>
      <c r="B13">
        <f>COUNTIF(Runs!$F:$F,A13)</f>
        <v>8</v>
      </c>
      <c r="C13">
        <f>COUNTIFS(Runs!$F:$F,A13,Runs!$J:$J,TRUE)</f>
        <v>4</v>
      </c>
      <c r="D13" s="1">
        <f t="shared" ref="D13:D18" si="0">IFERROR(C13/B13,"")</f>
        <v>0.5</v>
      </c>
      <c r="E13" s="2">
        <f>IFERROR(AVERAGEIF(Runs!$F:$F,A13,Runs!$L:$L),"")</f>
        <v>55.233499999999999</v>
      </c>
      <c r="F13" s="2">
        <f>IFERROR(AVERAGEIF(Runs!$F:$F,A13,Runs!$M:$M),"")</f>
        <v>2</v>
      </c>
      <c r="G13" s="2">
        <f>IFERROR(AVERAGEIF(Runs!$F:$F,A13,Runs!$O:$O),"")</f>
        <v>2</v>
      </c>
      <c r="H13">
        <f>SUMIF(Runs!$F:$F,A13,Runs!$N:$N)</f>
        <v>16</v>
      </c>
      <c r="I13" s="3">
        <f>SUMIF(Runs!$F:$F,A13,Runs!$U:$U)</f>
        <v>0.36151549999999999</v>
      </c>
    </row>
    <row r="14" spans="1:9" x14ac:dyDescent="0.25">
      <c r="A14" t="s">
        <v>51</v>
      </c>
      <c r="B14">
        <f>COUNTIF(Runs!$F:$F,A14)</f>
        <v>8</v>
      </c>
      <c r="C14">
        <f>COUNTIFS(Runs!$F:$F,A14,Runs!$J:$J,TRUE)</f>
        <v>8</v>
      </c>
      <c r="D14" s="1">
        <f t="shared" si="0"/>
        <v>1</v>
      </c>
      <c r="E14" s="2">
        <f>IFERROR(AVERAGEIF(Runs!$F:$F,A14,Runs!$L:$L),"")</f>
        <v>151.45262500000001</v>
      </c>
      <c r="F14" s="2">
        <f>IFERROR(AVERAGEIF(Runs!$F:$F,A14,Runs!$M:$M),"")</f>
        <v>4.375</v>
      </c>
      <c r="G14" s="2">
        <f>IFERROR(AVERAGEIF(Runs!$F:$F,A14,Runs!$O:$O),"")</f>
        <v>1.25</v>
      </c>
      <c r="H14">
        <f>SUMIF(Runs!$F:$F,A14,Runs!$N:$N)</f>
        <v>35</v>
      </c>
      <c r="I14" s="3">
        <f>SUMIF(Runs!$F:$F,A14,Runs!$U:$U)</f>
        <v>0.89728300000000005</v>
      </c>
    </row>
    <row r="15" spans="1:9" x14ac:dyDescent="0.25">
      <c r="A15" t="s">
        <v>73</v>
      </c>
      <c r="B15">
        <f>COUNTIF(Runs!$F:$F,A15)</f>
        <v>8</v>
      </c>
      <c r="C15">
        <f>COUNTIFS(Runs!$F:$F,A15,Runs!$J:$J,TRUE)</f>
        <v>8</v>
      </c>
      <c r="D15" s="1">
        <f t="shared" si="0"/>
        <v>1</v>
      </c>
      <c r="E15" s="2">
        <f>IFERROR(AVERAGEIF(Runs!$F:$F,A15,Runs!$L:$L),"")</f>
        <v>28.273249999999997</v>
      </c>
      <c r="F15" s="2">
        <f>IFERROR(AVERAGEIF(Runs!$F:$F,A15,Runs!$M:$M),"")</f>
        <v>1.25</v>
      </c>
      <c r="G15" s="2">
        <f>IFERROR(AVERAGEIF(Runs!$F:$F,A15,Runs!$O:$O),"")</f>
        <v>1.25</v>
      </c>
      <c r="H15">
        <f>SUMIF(Runs!$F:$F,A15,Runs!$N:$N)</f>
        <v>10</v>
      </c>
      <c r="I15" s="3">
        <f>SUMIF(Runs!$F:$F,A15,Runs!$U:$U)</f>
        <v>0.20095450000000004</v>
      </c>
    </row>
    <row r="16" spans="1:9" x14ac:dyDescent="0.25">
      <c r="A16" t="s">
        <v>95</v>
      </c>
      <c r="B16">
        <f>COUNTIF(Runs!$F:$F,A16)</f>
        <v>8</v>
      </c>
      <c r="C16">
        <f>COUNTIFS(Runs!$F:$F,A16,Runs!$J:$J,TRUE)</f>
        <v>8</v>
      </c>
      <c r="D16" s="1">
        <f t="shared" si="0"/>
        <v>1</v>
      </c>
      <c r="E16" s="2">
        <f>IFERROR(AVERAGEIF(Runs!$F:$F,A16,Runs!$L:$L),"")</f>
        <v>28.412249999999997</v>
      </c>
      <c r="F16" s="2">
        <f>IFERROR(AVERAGEIF(Runs!$F:$F,A16,Runs!$M:$M),"")</f>
        <v>1</v>
      </c>
      <c r="G16" s="2">
        <f>IFERROR(AVERAGEIF(Runs!$F:$F,A16,Runs!$O:$O),"")</f>
        <v>1</v>
      </c>
      <c r="H16">
        <f>SUMIF(Runs!$F:$F,A16,Runs!$N:$N)</f>
        <v>8</v>
      </c>
      <c r="I16" s="3">
        <f>SUMIF(Runs!$F:$F,A16,Runs!$U:$U)</f>
        <v>0.18401299999999998</v>
      </c>
    </row>
    <row r="17" spans="1:9" x14ac:dyDescent="0.25">
      <c r="A17" t="s">
        <v>118</v>
      </c>
      <c r="B17">
        <f>COUNTIF(Runs!$F:$F,A17)</f>
        <v>32</v>
      </c>
      <c r="C17">
        <f>COUNTIFS(Runs!$F:$F,A17,Runs!$J:$J,TRUE)</f>
        <v>0</v>
      </c>
      <c r="D17" s="1">
        <f t="shared" si="0"/>
        <v>0</v>
      </c>
      <c r="E17" s="2">
        <f>IFERROR(AVERAGEIF(Runs!$F:$F,A17,Runs!$L:$L),"")</f>
        <v>788.30159374999994</v>
      </c>
      <c r="F17" s="2">
        <f>IFERROR(AVERAGEIF(Runs!$F:$F,A17,Runs!$M:$M),"")</f>
        <v>10</v>
      </c>
      <c r="G17" s="2">
        <f>IFERROR(AVERAGEIF(Runs!$F:$F,A17,Runs!$O:$O),"")</f>
        <v>0.34375</v>
      </c>
      <c r="H17">
        <f>SUMIF(Runs!$F:$F,A17,Runs!$N:$N)</f>
        <v>320</v>
      </c>
      <c r="I17" s="3">
        <f>SUMIF(Runs!$F:$F,A17,Runs!$U:$U)</f>
        <v>15.102323999999999</v>
      </c>
    </row>
    <row r="18" spans="1:9" x14ac:dyDescent="0.25">
      <c r="A18" t="s">
        <v>198</v>
      </c>
      <c r="B18">
        <f>COUNTIF(Runs!$F:$F,A18)</f>
        <v>0</v>
      </c>
      <c r="C18">
        <f>COUNTIFS(Runs!$F:$F,A18,Runs!$J:$J,TRUE)</f>
        <v>0</v>
      </c>
      <c r="D18" s="1" t="str">
        <f t="shared" si="0"/>
        <v/>
      </c>
      <c r="E18" s="2" t="str">
        <f>IFERROR(AVERAGEIF(Runs!$F:$F,A18,Runs!$L:$L),"")</f>
        <v/>
      </c>
      <c r="F18" s="2" t="str">
        <f>IFERROR(AVERAGEIF(Runs!$F:$F,A18,Runs!$M:$M),"")</f>
        <v/>
      </c>
      <c r="G18" s="2" t="str">
        <f>IFERROR(AVERAGEIF(Runs!$F:$F,A18,Runs!$O:$O),"")</f>
        <v/>
      </c>
      <c r="H18">
        <f>SUMIF(Runs!$F:$F,A18,Runs!$N:$N)</f>
        <v>0</v>
      </c>
      <c r="I18" s="3">
        <f>SUMIF(Runs!$F:$F,A18,Runs!$U:$U)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5" x14ac:dyDescent="0.25"/>
  <sheetData>
    <row r="1" spans="1:1" x14ac:dyDescent="0.25">
      <c r="A1" t="s">
        <v>199</v>
      </c>
    </row>
    <row r="2" spans="1:1" x14ac:dyDescent="0.25">
      <c r="A2" t="s">
        <v>200</v>
      </c>
    </row>
    <row r="3" spans="1:1" x14ac:dyDescent="0.25">
      <c r="A3" t="s">
        <v>121</v>
      </c>
    </row>
    <row r="4" spans="1:1" x14ac:dyDescent="0.25">
      <c r="A4" t="s">
        <v>201</v>
      </c>
    </row>
    <row r="5" spans="1:1" x14ac:dyDescent="0.25">
      <c r="A5" t="s">
        <v>202</v>
      </c>
    </row>
    <row r="6" spans="1:1" x14ac:dyDescent="0.25">
      <c r="A6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Runs</vt:lpstr>
      <vt:lpstr>Summary</vt:lpstr>
      <vt:lpstr>ErrorTypeOptions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Nils Sauskins</cp:lastModifiedBy>
  <dcterms:created xsi:type="dcterms:W3CDTF">2026-05-19T21:21:19Z</dcterms:created>
  <dcterms:modified xsi:type="dcterms:W3CDTF">2026-05-22T10:14:33Z</dcterms:modified>
</cp:coreProperties>
</file>